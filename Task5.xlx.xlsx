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8_{F884612D-63D1-4D3D-8470-7182F75857EB}" xr6:coauthVersionLast="47" xr6:coauthVersionMax="47" xr10:uidLastSave="{00000000-0000-0000-0000-000000000000}"/>
  <bookViews>
    <workbookView xWindow="-108" yWindow="-108" windowWidth="23256" windowHeight="12456" activeTab="1" xr2:uid="{C4907F75-6A01-4C57-878A-FD60B5289AC6}"/>
  </bookViews>
  <sheets>
    <sheet name="Table5" sheetId="2" r:id="rId1"/>
    <sheet name="CLEANED" sheetId="1" r:id="rId2"/>
  </sheets>
  <definedNames>
    <definedName name="ExternalData_1" localSheetId="0" hidden="1">Table5!$A$1:$V$1003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2" i="2"/>
  <c r="S32" i="2"/>
  <c r="S33" i="2"/>
  <c r="S64" i="2"/>
  <c r="S65" i="2"/>
  <c r="S88" i="2"/>
  <c r="S113" i="2"/>
  <c r="S114" i="2"/>
  <c r="S116" i="2"/>
  <c r="S138" i="2"/>
  <c r="S161" i="2"/>
  <c r="S166" i="2"/>
  <c r="S186" i="2"/>
  <c r="S214" i="2"/>
  <c r="S234" i="2"/>
  <c r="S238" i="2"/>
  <c r="S239" i="2"/>
  <c r="S262" i="2"/>
  <c r="S286" i="2"/>
  <c r="S298" i="2"/>
  <c r="S305" i="2"/>
  <c r="S306" i="2"/>
  <c r="S321" i="2"/>
  <c r="S322" i="2"/>
  <c r="S324" i="2"/>
  <c r="S342" i="2"/>
  <c r="S343" i="2"/>
  <c r="S344" i="2"/>
  <c r="S359" i="2"/>
  <c r="S360" i="2"/>
  <c r="S367" i="2"/>
  <c r="S384" i="2"/>
  <c r="S417" i="2"/>
  <c r="S422" i="2"/>
  <c r="S440" i="2"/>
  <c r="S441" i="2"/>
  <c r="S442" i="2"/>
  <c r="S457" i="2"/>
  <c r="S458" i="2"/>
  <c r="S463" i="2"/>
  <c r="S478" i="2"/>
  <c r="S479" i="2"/>
  <c r="S480" i="2"/>
  <c r="S495" i="2"/>
  <c r="S503" i="2"/>
  <c r="S518" i="2"/>
  <c r="S536" i="2"/>
  <c r="S553" i="2"/>
  <c r="S554" i="2"/>
  <c r="S561" i="2"/>
  <c r="S576" i="2"/>
  <c r="S577" i="2"/>
  <c r="S578" i="2"/>
  <c r="S591" i="2"/>
  <c r="S598" i="2"/>
  <c r="S599" i="2"/>
  <c r="S614" i="2"/>
  <c r="S615" i="2"/>
  <c r="S616" i="2"/>
  <c r="S634" i="2"/>
  <c r="S660" i="2"/>
  <c r="S672" i="2"/>
  <c r="S673" i="2"/>
  <c r="S688" i="2"/>
  <c r="S694" i="2"/>
  <c r="S695" i="2"/>
  <c r="S706" i="2"/>
  <c r="S710" i="2"/>
  <c r="S726" i="2"/>
  <c r="S727" i="2"/>
  <c r="S728" i="2"/>
  <c r="S742" i="2"/>
  <c r="S746" i="2"/>
  <c r="S758" i="2"/>
  <c r="S759" i="2"/>
  <c r="S760" i="2"/>
  <c r="S770" i="2"/>
  <c r="S774" i="2"/>
  <c r="S775" i="2"/>
  <c r="S784" i="2"/>
  <c r="S785" i="2"/>
  <c r="S786" i="2"/>
  <c r="S798" i="2"/>
  <c r="S799" i="2"/>
  <c r="S800" i="2"/>
  <c r="S809" i="2"/>
  <c r="S810" i="2"/>
  <c r="S814" i="2"/>
  <c r="S823" i="2"/>
  <c r="S824" i="2"/>
  <c r="S825" i="2"/>
  <c r="S834" i="2"/>
  <c r="S838" i="2"/>
  <c r="S839" i="2"/>
  <c r="S848" i="2"/>
  <c r="S849" i="2"/>
  <c r="S850" i="2"/>
  <c r="S862" i="2"/>
  <c r="S863" i="2"/>
  <c r="S864" i="2"/>
  <c r="S873" i="2"/>
  <c r="S874" i="2"/>
  <c r="S878" i="2"/>
  <c r="S887" i="2"/>
  <c r="S888" i="2"/>
  <c r="S889" i="2"/>
  <c r="S898" i="2"/>
  <c r="S902" i="2"/>
  <c r="S903" i="2"/>
  <c r="S912" i="2"/>
  <c r="S913" i="2"/>
  <c r="S914" i="2"/>
  <c r="S926" i="2"/>
  <c r="S927" i="2"/>
  <c r="S928" i="2"/>
  <c r="S937" i="2"/>
  <c r="S938" i="2"/>
  <c r="S942" i="2"/>
  <c r="S950" i="2"/>
  <c r="S951" i="2"/>
  <c r="S952" i="2"/>
  <c r="S960" i="2"/>
  <c r="S961" i="2"/>
  <c r="S962" i="2"/>
  <c r="S970" i="2"/>
  <c r="S974" i="2"/>
  <c r="S982" i="2"/>
  <c r="S983" i="2"/>
  <c r="S990" i="2"/>
  <c r="S991" i="2"/>
  <c r="S998" i="2"/>
  <c r="S999" i="2"/>
  <c r="S1002" i="2"/>
  <c r="S1003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2" i="2"/>
  <c r="Q3" i="2"/>
  <c r="S3" i="2" s="1"/>
  <c r="Q4" i="2"/>
  <c r="S4" i="2" s="1"/>
  <c r="Q5" i="2"/>
  <c r="S5" i="2" s="1"/>
  <c r="Q6" i="2"/>
  <c r="S6" i="2" s="1"/>
  <c r="Q7" i="2"/>
  <c r="S7" i="2" s="1"/>
  <c r="Q8" i="2"/>
  <c r="S8" i="2" s="1"/>
  <c r="Q9" i="2"/>
  <c r="S9" i="2" s="1"/>
  <c r="Q10" i="2"/>
  <c r="S10" i="2" s="1"/>
  <c r="Q11" i="2"/>
  <c r="S11" i="2" s="1"/>
  <c r="Q12" i="2"/>
  <c r="S12" i="2" s="1"/>
  <c r="Q13" i="2"/>
  <c r="S13" i="2" s="1"/>
  <c r="Q14" i="2"/>
  <c r="S14" i="2" s="1"/>
  <c r="Q15" i="2"/>
  <c r="S15" i="2" s="1"/>
  <c r="Q16" i="2"/>
  <c r="S16" i="2" s="1"/>
  <c r="Q17" i="2"/>
  <c r="S17" i="2" s="1"/>
  <c r="Q18" i="2"/>
  <c r="S18" i="2" s="1"/>
  <c r="Q19" i="2"/>
  <c r="S19" i="2" s="1"/>
  <c r="Q20" i="2"/>
  <c r="S20" i="2" s="1"/>
  <c r="Q21" i="2"/>
  <c r="S21" i="2" s="1"/>
  <c r="Q22" i="2"/>
  <c r="S22" i="2" s="1"/>
  <c r="Q23" i="2"/>
  <c r="S23" i="2" s="1"/>
  <c r="Q24" i="2"/>
  <c r="S24" i="2" s="1"/>
  <c r="Q25" i="2"/>
  <c r="S25" i="2" s="1"/>
  <c r="Q26" i="2"/>
  <c r="S26" i="2" s="1"/>
  <c r="Q27" i="2"/>
  <c r="S27" i="2" s="1"/>
  <c r="Q28" i="2"/>
  <c r="S28" i="2" s="1"/>
  <c r="Q29" i="2"/>
  <c r="S29" i="2" s="1"/>
  <c r="Q30" i="2"/>
  <c r="S30" i="2" s="1"/>
  <c r="Q31" i="2"/>
  <c r="S31" i="2" s="1"/>
  <c r="Q32" i="2"/>
  <c r="Q33" i="2"/>
  <c r="Q34" i="2"/>
  <c r="S34" i="2" s="1"/>
  <c r="Q35" i="2"/>
  <c r="S35" i="2" s="1"/>
  <c r="Q36" i="2"/>
  <c r="S36" i="2" s="1"/>
  <c r="Q37" i="2"/>
  <c r="S37" i="2" s="1"/>
  <c r="Q38" i="2"/>
  <c r="S38" i="2" s="1"/>
  <c r="Q39" i="2"/>
  <c r="S39" i="2" s="1"/>
  <c r="Q40" i="2"/>
  <c r="S40" i="2" s="1"/>
  <c r="Q41" i="2"/>
  <c r="S41" i="2" s="1"/>
  <c r="Q42" i="2"/>
  <c r="S42" i="2" s="1"/>
  <c r="Q43" i="2"/>
  <c r="S43" i="2" s="1"/>
  <c r="Q44" i="2"/>
  <c r="S44" i="2" s="1"/>
  <c r="Q45" i="2"/>
  <c r="S45" i="2" s="1"/>
  <c r="Q46" i="2"/>
  <c r="S46" i="2" s="1"/>
  <c r="Q47" i="2"/>
  <c r="S47" i="2" s="1"/>
  <c r="Q48" i="2"/>
  <c r="S48" i="2" s="1"/>
  <c r="Q49" i="2"/>
  <c r="S49" i="2" s="1"/>
  <c r="Q50" i="2"/>
  <c r="S50" i="2" s="1"/>
  <c r="Q51" i="2"/>
  <c r="S51" i="2" s="1"/>
  <c r="Q52" i="2"/>
  <c r="S52" i="2" s="1"/>
  <c r="Q53" i="2"/>
  <c r="S53" i="2" s="1"/>
  <c r="Q54" i="2"/>
  <c r="S54" i="2" s="1"/>
  <c r="Q55" i="2"/>
  <c r="S55" i="2" s="1"/>
  <c r="Q56" i="2"/>
  <c r="S56" i="2" s="1"/>
  <c r="Q57" i="2"/>
  <c r="S57" i="2" s="1"/>
  <c r="Q58" i="2"/>
  <c r="S58" i="2" s="1"/>
  <c r="Q59" i="2"/>
  <c r="S59" i="2" s="1"/>
  <c r="Q60" i="2"/>
  <c r="S60" i="2" s="1"/>
  <c r="Q61" i="2"/>
  <c r="S61" i="2" s="1"/>
  <c r="Q62" i="2"/>
  <c r="S62" i="2" s="1"/>
  <c r="Q63" i="2"/>
  <c r="S63" i="2" s="1"/>
  <c r="Q64" i="2"/>
  <c r="Q65" i="2"/>
  <c r="Q66" i="2"/>
  <c r="S66" i="2" s="1"/>
  <c r="Q67" i="2"/>
  <c r="S67" i="2" s="1"/>
  <c r="Q68" i="2"/>
  <c r="S68" i="2" s="1"/>
  <c r="Q69" i="2"/>
  <c r="S69" i="2" s="1"/>
  <c r="Q70" i="2"/>
  <c r="S70" i="2" s="1"/>
  <c r="Q71" i="2"/>
  <c r="S71" i="2" s="1"/>
  <c r="Q72" i="2"/>
  <c r="S72" i="2" s="1"/>
  <c r="Q73" i="2"/>
  <c r="S73" i="2" s="1"/>
  <c r="Q74" i="2"/>
  <c r="S74" i="2" s="1"/>
  <c r="Q75" i="2"/>
  <c r="S75" i="2" s="1"/>
  <c r="Q76" i="2"/>
  <c r="S76" i="2" s="1"/>
  <c r="Q77" i="2"/>
  <c r="S77" i="2" s="1"/>
  <c r="Q78" i="2"/>
  <c r="S78" i="2" s="1"/>
  <c r="Q79" i="2"/>
  <c r="S79" i="2" s="1"/>
  <c r="Q80" i="2"/>
  <c r="S80" i="2" s="1"/>
  <c r="Q81" i="2"/>
  <c r="S81" i="2" s="1"/>
  <c r="Q82" i="2"/>
  <c r="S82" i="2" s="1"/>
  <c r="Q83" i="2"/>
  <c r="S83" i="2" s="1"/>
  <c r="Q84" i="2"/>
  <c r="S84" i="2" s="1"/>
  <c r="Q85" i="2"/>
  <c r="S85" i="2" s="1"/>
  <c r="Q86" i="2"/>
  <c r="S86" i="2" s="1"/>
  <c r="Q87" i="2"/>
  <c r="S87" i="2" s="1"/>
  <c r="Q88" i="2"/>
  <c r="Q89" i="2"/>
  <c r="S89" i="2" s="1"/>
  <c r="Q90" i="2"/>
  <c r="S90" i="2" s="1"/>
  <c r="Q91" i="2"/>
  <c r="S91" i="2" s="1"/>
  <c r="Q92" i="2"/>
  <c r="S92" i="2" s="1"/>
  <c r="Q93" i="2"/>
  <c r="S93" i="2" s="1"/>
  <c r="Q94" i="2"/>
  <c r="S94" i="2" s="1"/>
  <c r="Q95" i="2"/>
  <c r="S95" i="2" s="1"/>
  <c r="Q96" i="2"/>
  <c r="S96" i="2" s="1"/>
  <c r="Q97" i="2"/>
  <c r="S97" i="2" s="1"/>
  <c r="Q98" i="2"/>
  <c r="S98" i="2" s="1"/>
  <c r="Q99" i="2"/>
  <c r="S99" i="2" s="1"/>
  <c r="Q100" i="2"/>
  <c r="S100" i="2" s="1"/>
  <c r="Q101" i="2"/>
  <c r="S101" i="2" s="1"/>
  <c r="Q102" i="2"/>
  <c r="S102" i="2" s="1"/>
  <c r="Q103" i="2"/>
  <c r="S103" i="2" s="1"/>
  <c r="Q104" i="2"/>
  <c r="S104" i="2" s="1"/>
  <c r="Q105" i="2"/>
  <c r="S105" i="2" s="1"/>
  <c r="Q106" i="2"/>
  <c r="S106" i="2" s="1"/>
  <c r="Q107" i="2"/>
  <c r="S107" i="2" s="1"/>
  <c r="Q108" i="2"/>
  <c r="S108" i="2" s="1"/>
  <c r="Q109" i="2"/>
  <c r="S109" i="2" s="1"/>
  <c r="Q110" i="2"/>
  <c r="S110" i="2" s="1"/>
  <c r="Q111" i="2"/>
  <c r="S111" i="2" s="1"/>
  <c r="Q112" i="2"/>
  <c r="S112" i="2" s="1"/>
  <c r="Q113" i="2"/>
  <c r="Q114" i="2"/>
  <c r="Q115" i="2"/>
  <c r="S115" i="2" s="1"/>
  <c r="Q116" i="2"/>
  <c r="Q117" i="2"/>
  <c r="S117" i="2" s="1"/>
  <c r="Q118" i="2"/>
  <c r="S118" i="2" s="1"/>
  <c r="Q119" i="2"/>
  <c r="S119" i="2" s="1"/>
  <c r="Q120" i="2"/>
  <c r="S120" i="2" s="1"/>
  <c r="Q121" i="2"/>
  <c r="S121" i="2" s="1"/>
  <c r="Q122" i="2"/>
  <c r="S122" i="2" s="1"/>
  <c r="Q123" i="2"/>
  <c r="S123" i="2" s="1"/>
  <c r="Q124" i="2"/>
  <c r="S124" i="2" s="1"/>
  <c r="Q125" i="2"/>
  <c r="S125" i="2" s="1"/>
  <c r="Q126" i="2"/>
  <c r="S126" i="2" s="1"/>
  <c r="Q127" i="2"/>
  <c r="S127" i="2" s="1"/>
  <c r="Q128" i="2"/>
  <c r="S128" i="2" s="1"/>
  <c r="Q129" i="2"/>
  <c r="S129" i="2" s="1"/>
  <c r="Q130" i="2"/>
  <c r="S130" i="2" s="1"/>
  <c r="Q131" i="2"/>
  <c r="S131" i="2" s="1"/>
  <c r="Q132" i="2"/>
  <c r="S132" i="2" s="1"/>
  <c r="Q133" i="2"/>
  <c r="S133" i="2" s="1"/>
  <c r="Q134" i="2"/>
  <c r="S134" i="2" s="1"/>
  <c r="Q135" i="2"/>
  <c r="S135" i="2" s="1"/>
  <c r="Q136" i="2"/>
  <c r="S136" i="2" s="1"/>
  <c r="Q137" i="2"/>
  <c r="S137" i="2" s="1"/>
  <c r="Q138" i="2"/>
  <c r="Q139" i="2"/>
  <c r="S139" i="2" s="1"/>
  <c r="Q140" i="2"/>
  <c r="S140" i="2" s="1"/>
  <c r="Q141" i="2"/>
  <c r="S141" i="2" s="1"/>
  <c r="Q142" i="2"/>
  <c r="S142" i="2" s="1"/>
  <c r="Q143" i="2"/>
  <c r="S143" i="2" s="1"/>
  <c r="Q144" i="2"/>
  <c r="S144" i="2" s="1"/>
  <c r="Q145" i="2"/>
  <c r="S145" i="2" s="1"/>
  <c r="Q146" i="2"/>
  <c r="S146" i="2" s="1"/>
  <c r="Q147" i="2"/>
  <c r="S147" i="2" s="1"/>
  <c r="Q148" i="2"/>
  <c r="S148" i="2" s="1"/>
  <c r="Q149" i="2"/>
  <c r="S149" i="2" s="1"/>
  <c r="Q150" i="2"/>
  <c r="S150" i="2" s="1"/>
  <c r="Q151" i="2"/>
  <c r="S151" i="2" s="1"/>
  <c r="Q152" i="2"/>
  <c r="S152" i="2" s="1"/>
  <c r="Q153" i="2"/>
  <c r="S153" i="2" s="1"/>
  <c r="Q154" i="2"/>
  <c r="S154" i="2" s="1"/>
  <c r="Q155" i="2"/>
  <c r="S155" i="2" s="1"/>
  <c r="Q156" i="2"/>
  <c r="S156" i="2" s="1"/>
  <c r="Q157" i="2"/>
  <c r="S157" i="2" s="1"/>
  <c r="Q158" i="2"/>
  <c r="S158" i="2" s="1"/>
  <c r="Q159" i="2"/>
  <c r="S159" i="2" s="1"/>
  <c r="Q160" i="2"/>
  <c r="S160" i="2" s="1"/>
  <c r="Q161" i="2"/>
  <c r="Q162" i="2"/>
  <c r="S162" i="2" s="1"/>
  <c r="Q163" i="2"/>
  <c r="S163" i="2" s="1"/>
  <c r="Q164" i="2"/>
  <c r="S164" i="2" s="1"/>
  <c r="Q165" i="2"/>
  <c r="S165" i="2" s="1"/>
  <c r="Q166" i="2"/>
  <c r="Q167" i="2"/>
  <c r="S167" i="2" s="1"/>
  <c r="Q168" i="2"/>
  <c r="S168" i="2" s="1"/>
  <c r="Q169" i="2"/>
  <c r="S169" i="2" s="1"/>
  <c r="Q170" i="2"/>
  <c r="S170" i="2" s="1"/>
  <c r="Q171" i="2"/>
  <c r="S171" i="2" s="1"/>
  <c r="Q172" i="2"/>
  <c r="S172" i="2" s="1"/>
  <c r="Q173" i="2"/>
  <c r="S173" i="2" s="1"/>
  <c r="Q174" i="2"/>
  <c r="S174" i="2" s="1"/>
  <c r="Q175" i="2"/>
  <c r="S175" i="2" s="1"/>
  <c r="Q176" i="2"/>
  <c r="S176" i="2" s="1"/>
  <c r="Q177" i="2"/>
  <c r="S177" i="2" s="1"/>
  <c r="Q178" i="2"/>
  <c r="S178" i="2" s="1"/>
  <c r="Q179" i="2"/>
  <c r="S179" i="2" s="1"/>
  <c r="Q180" i="2"/>
  <c r="S180" i="2" s="1"/>
  <c r="Q181" i="2"/>
  <c r="S181" i="2" s="1"/>
  <c r="Q182" i="2"/>
  <c r="S182" i="2" s="1"/>
  <c r="Q183" i="2"/>
  <c r="S183" i="2" s="1"/>
  <c r="Q184" i="2"/>
  <c r="S184" i="2" s="1"/>
  <c r="Q185" i="2"/>
  <c r="S185" i="2" s="1"/>
  <c r="Q186" i="2"/>
  <c r="Q187" i="2"/>
  <c r="S187" i="2" s="1"/>
  <c r="Q188" i="2"/>
  <c r="S188" i="2" s="1"/>
  <c r="Q189" i="2"/>
  <c r="S189" i="2" s="1"/>
  <c r="Q190" i="2"/>
  <c r="S190" i="2" s="1"/>
  <c r="Q191" i="2"/>
  <c r="S191" i="2" s="1"/>
  <c r="Q192" i="2"/>
  <c r="S192" i="2" s="1"/>
  <c r="Q193" i="2"/>
  <c r="S193" i="2" s="1"/>
  <c r="Q194" i="2"/>
  <c r="S194" i="2" s="1"/>
  <c r="Q195" i="2"/>
  <c r="S195" i="2" s="1"/>
  <c r="Q196" i="2"/>
  <c r="S196" i="2" s="1"/>
  <c r="Q197" i="2"/>
  <c r="S197" i="2" s="1"/>
  <c r="Q198" i="2"/>
  <c r="S198" i="2" s="1"/>
  <c r="Q199" i="2"/>
  <c r="S199" i="2" s="1"/>
  <c r="Q200" i="2"/>
  <c r="S200" i="2" s="1"/>
  <c r="Q201" i="2"/>
  <c r="S201" i="2" s="1"/>
  <c r="Q202" i="2"/>
  <c r="S202" i="2" s="1"/>
  <c r="Q203" i="2"/>
  <c r="S203" i="2" s="1"/>
  <c r="Q204" i="2"/>
  <c r="S204" i="2" s="1"/>
  <c r="Q205" i="2"/>
  <c r="S205" i="2" s="1"/>
  <c r="Q206" i="2"/>
  <c r="S206" i="2" s="1"/>
  <c r="Q207" i="2"/>
  <c r="S207" i="2" s="1"/>
  <c r="Q208" i="2"/>
  <c r="S208" i="2" s="1"/>
  <c r="Q209" i="2"/>
  <c r="S209" i="2" s="1"/>
  <c r="Q210" i="2"/>
  <c r="S210" i="2" s="1"/>
  <c r="Q211" i="2"/>
  <c r="S211" i="2" s="1"/>
  <c r="Q212" i="2"/>
  <c r="S212" i="2" s="1"/>
  <c r="Q213" i="2"/>
  <c r="S213" i="2" s="1"/>
  <c r="Q214" i="2"/>
  <c r="Q215" i="2"/>
  <c r="S215" i="2" s="1"/>
  <c r="Q216" i="2"/>
  <c r="S216" i="2" s="1"/>
  <c r="Q217" i="2"/>
  <c r="S217" i="2" s="1"/>
  <c r="Q218" i="2"/>
  <c r="S218" i="2" s="1"/>
  <c r="Q219" i="2"/>
  <c r="S219" i="2" s="1"/>
  <c r="Q220" i="2"/>
  <c r="S220" i="2" s="1"/>
  <c r="Q221" i="2"/>
  <c r="S221" i="2" s="1"/>
  <c r="Q222" i="2"/>
  <c r="S222" i="2" s="1"/>
  <c r="Q223" i="2"/>
  <c r="S223" i="2" s="1"/>
  <c r="Q224" i="2"/>
  <c r="S224" i="2" s="1"/>
  <c r="Q225" i="2"/>
  <c r="S225" i="2" s="1"/>
  <c r="Q226" i="2"/>
  <c r="S226" i="2" s="1"/>
  <c r="Q227" i="2"/>
  <c r="S227" i="2" s="1"/>
  <c r="Q228" i="2"/>
  <c r="S228" i="2" s="1"/>
  <c r="Q229" i="2"/>
  <c r="S229" i="2" s="1"/>
  <c r="Q230" i="2"/>
  <c r="S230" i="2" s="1"/>
  <c r="Q231" i="2"/>
  <c r="S231" i="2" s="1"/>
  <c r="Q232" i="2"/>
  <c r="S232" i="2" s="1"/>
  <c r="Q233" i="2"/>
  <c r="S233" i="2" s="1"/>
  <c r="Q234" i="2"/>
  <c r="Q235" i="2"/>
  <c r="S235" i="2" s="1"/>
  <c r="Q236" i="2"/>
  <c r="S236" i="2" s="1"/>
  <c r="Q237" i="2"/>
  <c r="S237" i="2" s="1"/>
  <c r="Q238" i="2"/>
  <c r="Q239" i="2"/>
  <c r="Q240" i="2"/>
  <c r="S240" i="2" s="1"/>
  <c r="Q241" i="2"/>
  <c r="S241" i="2" s="1"/>
  <c r="Q242" i="2"/>
  <c r="S242" i="2" s="1"/>
  <c r="Q243" i="2"/>
  <c r="S243" i="2" s="1"/>
  <c r="Q244" i="2"/>
  <c r="S244" i="2" s="1"/>
  <c r="Q245" i="2"/>
  <c r="S245" i="2" s="1"/>
  <c r="Q246" i="2"/>
  <c r="S246" i="2" s="1"/>
  <c r="Q247" i="2"/>
  <c r="S247" i="2" s="1"/>
  <c r="Q248" i="2"/>
  <c r="S248" i="2" s="1"/>
  <c r="Q249" i="2"/>
  <c r="S249" i="2" s="1"/>
  <c r="Q250" i="2"/>
  <c r="S250" i="2" s="1"/>
  <c r="Q251" i="2"/>
  <c r="S251" i="2" s="1"/>
  <c r="Q252" i="2"/>
  <c r="S252" i="2" s="1"/>
  <c r="Q253" i="2"/>
  <c r="S253" i="2" s="1"/>
  <c r="Q254" i="2"/>
  <c r="S254" i="2" s="1"/>
  <c r="Q255" i="2"/>
  <c r="S255" i="2" s="1"/>
  <c r="Q256" i="2"/>
  <c r="S256" i="2" s="1"/>
  <c r="Q257" i="2"/>
  <c r="S257" i="2" s="1"/>
  <c r="Q258" i="2"/>
  <c r="S258" i="2" s="1"/>
  <c r="Q259" i="2"/>
  <c r="S259" i="2" s="1"/>
  <c r="Q260" i="2"/>
  <c r="S260" i="2" s="1"/>
  <c r="Q261" i="2"/>
  <c r="S261" i="2" s="1"/>
  <c r="Q262" i="2"/>
  <c r="Q263" i="2"/>
  <c r="S263" i="2" s="1"/>
  <c r="Q264" i="2"/>
  <c r="S264" i="2" s="1"/>
  <c r="Q265" i="2"/>
  <c r="S265" i="2" s="1"/>
  <c r="Q266" i="2"/>
  <c r="S266" i="2" s="1"/>
  <c r="Q267" i="2"/>
  <c r="S267" i="2" s="1"/>
  <c r="Q268" i="2"/>
  <c r="S268" i="2" s="1"/>
  <c r="Q269" i="2"/>
  <c r="S269" i="2" s="1"/>
  <c r="Q270" i="2"/>
  <c r="S270" i="2" s="1"/>
  <c r="Q271" i="2"/>
  <c r="S271" i="2" s="1"/>
  <c r="Q272" i="2"/>
  <c r="S272" i="2" s="1"/>
  <c r="Q273" i="2"/>
  <c r="S273" i="2" s="1"/>
  <c r="Q274" i="2"/>
  <c r="S274" i="2" s="1"/>
  <c r="Q275" i="2"/>
  <c r="S275" i="2" s="1"/>
  <c r="Q276" i="2"/>
  <c r="S276" i="2" s="1"/>
  <c r="Q277" i="2"/>
  <c r="S277" i="2" s="1"/>
  <c r="Q278" i="2"/>
  <c r="S278" i="2" s="1"/>
  <c r="Q279" i="2"/>
  <c r="S279" i="2" s="1"/>
  <c r="Q280" i="2"/>
  <c r="S280" i="2" s="1"/>
  <c r="Q281" i="2"/>
  <c r="S281" i="2" s="1"/>
  <c r="Q282" i="2"/>
  <c r="S282" i="2" s="1"/>
  <c r="Q283" i="2"/>
  <c r="S283" i="2" s="1"/>
  <c r="Q284" i="2"/>
  <c r="S284" i="2" s="1"/>
  <c r="Q285" i="2"/>
  <c r="S285" i="2" s="1"/>
  <c r="Q286" i="2"/>
  <c r="Q287" i="2"/>
  <c r="S287" i="2" s="1"/>
  <c r="Q288" i="2"/>
  <c r="S288" i="2" s="1"/>
  <c r="Q289" i="2"/>
  <c r="S289" i="2" s="1"/>
  <c r="Q290" i="2"/>
  <c r="S290" i="2" s="1"/>
  <c r="Q291" i="2"/>
  <c r="S291" i="2" s="1"/>
  <c r="Q292" i="2"/>
  <c r="S292" i="2" s="1"/>
  <c r="Q293" i="2"/>
  <c r="S293" i="2" s="1"/>
  <c r="Q294" i="2"/>
  <c r="S294" i="2" s="1"/>
  <c r="Q295" i="2"/>
  <c r="S295" i="2" s="1"/>
  <c r="Q296" i="2"/>
  <c r="S296" i="2" s="1"/>
  <c r="Q297" i="2"/>
  <c r="S297" i="2" s="1"/>
  <c r="Q298" i="2"/>
  <c r="Q299" i="2"/>
  <c r="S299" i="2" s="1"/>
  <c r="Q300" i="2"/>
  <c r="S300" i="2" s="1"/>
  <c r="Q301" i="2"/>
  <c r="S301" i="2" s="1"/>
  <c r="Q302" i="2"/>
  <c r="S302" i="2" s="1"/>
  <c r="Q303" i="2"/>
  <c r="S303" i="2" s="1"/>
  <c r="Q304" i="2"/>
  <c r="S304" i="2" s="1"/>
  <c r="Q305" i="2"/>
  <c r="Q306" i="2"/>
  <c r="Q307" i="2"/>
  <c r="S307" i="2" s="1"/>
  <c r="Q308" i="2"/>
  <c r="S308" i="2" s="1"/>
  <c r="Q309" i="2"/>
  <c r="S309" i="2" s="1"/>
  <c r="Q310" i="2"/>
  <c r="S310" i="2" s="1"/>
  <c r="Q311" i="2"/>
  <c r="S311" i="2" s="1"/>
  <c r="Q312" i="2"/>
  <c r="S312" i="2" s="1"/>
  <c r="Q313" i="2"/>
  <c r="S313" i="2" s="1"/>
  <c r="Q314" i="2"/>
  <c r="S314" i="2" s="1"/>
  <c r="Q315" i="2"/>
  <c r="S315" i="2" s="1"/>
  <c r="Q316" i="2"/>
  <c r="S316" i="2" s="1"/>
  <c r="Q317" i="2"/>
  <c r="S317" i="2" s="1"/>
  <c r="Q318" i="2"/>
  <c r="S318" i="2" s="1"/>
  <c r="Q319" i="2"/>
  <c r="S319" i="2" s="1"/>
  <c r="Q320" i="2"/>
  <c r="S320" i="2" s="1"/>
  <c r="Q321" i="2"/>
  <c r="Q322" i="2"/>
  <c r="Q323" i="2"/>
  <c r="S323" i="2" s="1"/>
  <c r="Q324" i="2"/>
  <c r="Q325" i="2"/>
  <c r="S325" i="2" s="1"/>
  <c r="Q326" i="2"/>
  <c r="S326" i="2" s="1"/>
  <c r="Q327" i="2"/>
  <c r="S327" i="2" s="1"/>
  <c r="Q328" i="2"/>
  <c r="S328" i="2" s="1"/>
  <c r="Q329" i="2"/>
  <c r="S329" i="2" s="1"/>
  <c r="Q330" i="2"/>
  <c r="S330" i="2" s="1"/>
  <c r="Q331" i="2"/>
  <c r="S331" i="2" s="1"/>
  <c r="Q332" i="2"/>
  <c r="S332" i="2" s="1"/>
  <c r="Q333" i="2"/>
  <c r="S333" i="2" s="1"/>
  <c r="Q334" i="2"/>
  <c r="S334" i="2" s="1"/>
  <c r="Q335" i="2"/>
  <c r="S335" i="2" s="1"/>
  <c r="Q336" i="2"/>
  <c r="S336" i="2" s="1"/>
  <c r="Q337" i="2"/>
  <c r="S337" i="2" s="1"/>
  <c r="Q338" i="2"/>
  <c r="S338" i="2" s="1"/>
  <c r="Q339" i="2"/>
  <c r="S339" i="2" s="1"/>
  <c r="Q340" i="2"/>
  <c r="S340" i="2" s="1"/>
  <c r="Q341" i="2"/>
  <c r="S341" i="2" s="1"/>
  <c r="Q342" i="2"/>
  <c r="Q343" i="2"/>
  <c r="Q344" i="2"/>
  <c r="Q345" i="2"/>
  <c r="S345" i="2" s="1"/>
  <c r="Q346" i="2"/>
  <c r="S346" i="2" s="1"/>
  <c r="Q347" i="2"/>
  <c r="S347" i="2" s="1"/>
  <c r="Q348" i="2"/>
  <c r="S348" i="2" s="1"/>
  <c r="Q349" i="2"/>
  <c r="S349" i="2" s="1"/>
  <c r="Q350" i="2"/>
  <c r="S350" i="2" s="1"/>
  <c r="Q351" i="2"/>
  <c r="S351" i="2" s="1"/>
  <c r="Q352" i="2"/>
  <c r="S352" i="2" s="1"/>
  <c r="Q353" i="2"/>
  <c r="S353" i="2" s="1"/>
  <c r="Q354" i="2"/>
  <c r="S354" i="2" s="1"/>
  <c r="Q355" i="2"/>
  <c r="S355" i="2" s="1"/>
  <c r="Q356" i="2"/>
  <c r="S356" i="2" s="1"/>
  <c r="Q357" i="2"/>
  <c r="S357" i="2" s="1"/>
  <c r="Q358" i="2"/>
  <c r="S358" i="2" s="1"/>
  <c r="Q359" i="2"/>
  <c r="Q360" i="2"/>
  <c r="Q361" i="2"/>
  <c r="S361" i="2" s="1"/>
  <c r="Q362" i="2"/>
  <c r="S362" i="2" s="1"/>
  <c r="Q363" i="2"/>
  <c r="S363" i="2" s="1"/>
  <c r="Q364" i="2"/>
  <c r="S364" i="2" s="1"/>
  <c r="Q365" i="2"/>
  <c r="S365" i="2" s="1"/>
  <c r="Q366" i="2"/>
  <c r="S366" i="2" s="1"/>
  <c r="Q367" i="2"/>
  <c r="Q368" i="2"/>
  <c r="S368" i="2" s="1"/>
  <c r="Q369" i="2"/>
  <c r="S369" i="2" s="1"/>
  <c r="Q370" i="2"/>
  <c r="S370" i="2" s="1"/>
  <c r="Q371" i="2"/>
  <c r="S371" i="2" s="1"/>
  <c r="Q372" i="2"/>
  <c r="S372" i="2" s="1"/>
  <c r="Q373" i="2"/>
  <c r="S373" i="2" s="1"/>
  <c r="Q374" i="2"/>
  <c r="S374" i="2" s="1"/>
  <c r="Q375" i="2"/>
  <c r="S375" i="2" s="1"/>
  <c r="Q376" i="2"/>
  <c r="S376" i="2" s="1"/>
  <c r="Q377" i="2"/>
  <c r="S377" i="2" s="1"/>
  <c r="Q378" i="2"/>
  <c r="S378" i="2" s="1"/>
  <c r="Q379" i="2"/>
  <c r="S379" i="2" s="1"/>
  <c r="Q380" i="2"/>
  <c r="S380" i="2" s="1"/>
  <c r="Q381" i="2"/>
  <c r="S381" i="2" s="1"/>
  <c r="Q382" i="2"/>
  <c r="S382" i="2" s="1"/>
  <c r="Q383" i="2"/>
  <c r="S383" i="2" s="1"/>
  <c r="Q384" i="2"/>
  <c r="Q385" i="2"/>
  <c r="S385" i="2" s="1"/>
  <c r="Q386" i="2"/>
  <c r="S386" i="2" s="1"/>
  <c r="Q387" i="2"/>
  <c r="S387" i="2" s="1"/>
  <c r="Q388" i="2"/>
  <c r="S388" i="2" s="1"/>
  <c r="Q389" i="2"/>
  <c r="S389" i="2" s="1"/>
  <c r="Q390" i="2"/>
  <c r="S390" i="2" s="1"/>
  <c r="Q391" i="2"/>
  <c r="S391" i="2" s="1"/>
  <c r="Q392" i="2"/>
  <c r="S392" i="2" s="1"/>
  <c r="Q393" i="2"/>
  <c r="S393" i="2" s="1"/>
  <c r="Q394" i="2"/>
  <c r="S394" i="2" s="1"/>
  <c r="Q395" i="2"/>
  <c r="S395" i="2" s="1"/>
  <c r="Q396" i="2"/>
  <c r="S396" i="2" s="1"/>
  <c r="Q397" i="2"/>
  <c r="S397" i="2" s="1"/>
  <c r="Q398" i="2"/>
  <c r="S398" i="2" s="1"/>
  <c r="Q399" i="2"/>
  <c r="S399" i="2" s="1"/>
  <c r="Q400" i="2"/>
  <c r="S400" i="2" s="1"/>
  <c r="Q401" i="2"/>
  <c r="S401" i="2" s="1"/>
  <c r="Q402" i="2"/>
  <c r="S402" i="2" s="1"/>
  <c r="Q403" i="2"/>
  <c r="S403" i="2" s="1"/>
  <c r="Q404" i="2"/>
  <c r="S404" i="2" s="1"/>
  <c r="Q405" i="2"/>
  <c r="S405" i="2" s="1"/>
  <c r="Q406" i="2"/>
  <c r="S406" i="2" s="1"/>
  <c r="Q407" i="2"/>
  <c r="S407" i="2" s="1"/>
  <c r="Q408" i="2"/>
  <c r="S408" i="2" s="1"/>
  <c r="Q409" i="2"/>
  <c r="S409" i="2" s="1"/>
  <c r="Q410" i="2"/>
  <c r="S410" i="2" s="1"/>
  <c r="Q411" i="2"/>
  <c r="S411" i="2" s="1"/>
  <c r="Q412" i="2"/>
  <c r="S412" i="2" s="1"/>
  <c r="Q413" i="2"/>
  <c r="S413" i="2" s="1"/>
  <c r="Q414" i="2"/>
  <c r="S414" i="2" s="1"/>
  <c r="Q415" i="2"/>
  <c r="S415" i="2" s="1"/>
  <c r="Q416" i="2"/>
  <c r="S416" i="2" s="1"/>
  <c r="Q417" i="2"/>
  <c r="Q418" i="2"/>
  <c r="S418" i="2" s="1"/>
  <c r="Q419" i="2"/>
  <c r="S419" i="2" s="1"/>
  <c r="Q420" i="2"/>
  <c r="S420" i="2" s="1"/>
  <c r="Q421" i="2"/>
  <c r="S421" i="2" s="1"/>
  <c r="Q422" i="2"/>
  <c r="Q423" i="2"/>
  <c r="S423" i="2" s="1"/>
  <c r="Q424" i="2"/>
  <c r="S424" i="2" s="1"/>
  <c r="Q425" i="2"/>
  <c r="S425" i="2" s="1"/>
  <c r="Q426" i="2"/>
  <c r="S426" i="2" s="1"/>
  <c r="Q427" i="2"/>
  <c r="S427" i="2" s="1"/>
  <c r="Q428" i="2"/>
  <c r="S428" i="2" s="1"/>
  <c r="Q429" i="2"/>
  <c r="S429" i="2" s="1"/>
  <c r="Q430" i="2"/>
  <c r="S430" i="2" s="1"/>
  <c r="Q431" i="2"/>
  <c r="S431" i="2" s="1"/>
  <c r="Q432" i="2"/>
  <c r="S432" i="2" s="1"/>
  <c r="Q433" i="2"/>
  <c r="S433" i="2" s="1"/>
  <c r="Q434" i="2"/>
  <c r="S434" i="2" s="1"/>
  <c r="Q435" i="2"/>
  <c r="S435" i="2" s="1"/>
  <c r="Q436" i="2"/>
  <c r="S436" i="2" s="1"/>
  <c r="Q437" i="2"/>
  <c r="S437" i="2" s="1"/>
  <c r="Q438" i="2"/>
  <c r="S438" i="2" s="1"/>
  <c r="Q439" i="2"/>
  <c r="S439" i="2" s="1"/>
  <c r="Q440" i="2"/>
  <c r="Q441" i="2"/>
  <c r="Q442" i="2"/>
  <c r="Q443" i="2"/>
  <c r="S443" i="2" s="1"/>
  <c r="Q444" i="2"/>
  <c r="S444" i="2" s="1"/>
  <c r="Q445" i="2"/>
  <c r="S445" i="2" s="1"/>
  <c r="Q446" i="2"/>
  <c r="S446" i="2" s="1"/>
  <c r="Q447" i="2"/>
  <c r="S447" i="2" s="1"/>
  <c r="Q448" i="2"/>
  <c r="S448" i="2" s="1"/>
  <c r="Q449" i="2"/>
  <c r="S449" i="2" s="1"/>
  <c r="Q450" i="2"/>
  <c r="S450" i="2" s="1"/>
  <c r="Q451" i="2"/>
  <c r="S451" i="2" s="1"/>
  <c r="Q452" i="2"/>
  <c r="S452" i="2" s="1"/>
  <c r="Q453" i="2"/>
  <c r="S453" i="2" s="1"/>
  <c r="Q454" i="2"/>
  <c r="S454" i="2" s="1"/>
  <c r="Q455" i="2"/>
  <c r="S455" i="2" s="1"/>
  <c r="Q456" i="2"/>
  <c r="S456" i="2" s="1"/>
  <c r="Q457" i="2"/>
  <c r="Q458" i="2"/>
  <c r="Q459" i="2"/>
  <c r="S459" i="2" s="1"/>
  <c r="Q460" i="2"/>
  <c r="S460" i="2" s="1"/>
  <c r="Q461" i="2"/>
  <c r="S461" i="2" s="1"/>
  <c r="Q462" i="2"/>
  <c r="S462" i="2" s="1"/>
  <c r="Q463" i="2"/>
  <c r="Q464" i="2"/>
  <c r="S464" i="2" s="1"/>
  <c r="Q465" i="2"/>
  <c r="S465" i="2" s="1"/>
  <c r="Q466" i="2"/>
  <c r="S466" i="2" s="1"/>
  <c r="Q467" i="2"/>
  <c r="S467" i="2" s="1"/>
  <c r="Q468" i="2"/>
  <c r="S468" i="2" s="1"/>
  <c r="Q469" i="2"/>
  <c r="S469" i="2" s="1"/>
  <c r="Q470" i="2"/>
  <c r="S470" i="2" s="1"/>
  <c r="Q471" i="2"/>
  <c r="S471" i="2" s="1"/>
  <c r="Q472" i="2"/>
  <c r="S472" i="2" s="1"/>
  <c r="Q473" i="2"/>
  <c r="S473" i="2" s="1"/>
  <c r="Q474" i="2"/>
  <c r="S474" i="2" s="1"/>
  <c r="Q475" i="2"/>
  <c r="S475" i="2" s="1"/>
  <c r="Q476" i="2"/>
  <c r="S476" i="2" s="1"/>
  <c r="Q477" i="2"/>
  <c r="S477" i="2" s="1"/>
  <c r="Q478" i="2"/>
  <c r="Q479" i="2"/>
  <c r="Q480" i="2"/>
  <c r="Q481" i="2"/>
  <c r="S481" i="2" s="1"/>
  <c r="Q482" i="2"/>
  <c r="S482" i="2" s="1"/>
  <c r="Q483" i="2"/>
  <c r="S483" i="2" s="1"/>
  <c r="Q484" i="2"/>
  <c r="S484" i="2" s="1"/>
  <c r="Q485" i="2"/>
  <c r="S485" i="2" s="1"/>
  <c r="Q486" i="2"/>
  <c r="S486" i="2" s="1"/>
  <c r="Q487" i="2"/>
  <c r="S487" i="2" s="1"/>
  <c r="Q488" i="2"/>
  <c r="S488" i="2" s="1"/>
  <c r="Q489" i="2"/>
  <c r="S489" i="2" s="1"/>
  <c r="Q490" i="2"/>
  <c r="S490" i="2" s="1"/>
  <c r="Q491" i="2"/>
  <c r="S491" i="2" s="1"/>
  <c r="Q492" i="2"/>
  <c r="S492" i="2" s="1"/>
  <c r="Q493" i="2"/>
  <c r="S493" i="2" s="1"/>
  <c r="Q494" i="2"/>
  <c r="S494" i="2" s="1"/>
  <c r="Q495" i="2"/>
  <c r="Q496" i="2"/>
  <c r="S496" i="2" s="1"/>
  <c r="Q497" i="2"/>
  <c r="S497" i="2" s="1"/>
  <c r="Q498" i="2"/>
  <c r="S498" i="2" s="1"/>
  <c r="Q499" i="2"/>
  <c r="S499" i="2" s="1"/>
  <c r="Q500" i="2"/>
  <c r="S500" i="2" s="1"/>
  <c r="Q501" i="2"/>
  <c r="S501" i="2" s="1"/>
  <c r="Q502" i="2"/>
  <c r="S502" i="2" s="1"/>
  <c r="Q503" i="2"/>
  <c r="Q504" i="2"/>
  <c r="S504" i="2" s="1"/>
  <c r="Q505" i="2"/>
  <c r="S505" i="2" s="1"/>
  <c r="Q506" i="2"/>
  <c r="S506" i="2" s="1"/>
  <c r="Q507" i="2"/>
  <c r="S507" i="2" s="1"/>
  <c r="Q508" i="2"/>
  <c r="S508" i="2" s="1"/>
  <c r="Q509" i="2"/>
  <c r="S509" i="2" s="1"/>
  <c r="Q510" i="2"/>
  <c r="S510" i="2" s="1"/>
  <c r="Q511" i="2"/>
  <c r="S511" i="2" s="1"/>
  <c r="Q512" i="2"/>
  <c r="S512" i="2" s="1"/>
  <c r="Q513" i="2"/>
  <c r="S513" i="2" s="1"/>
  <c r="Q514" i="2"/>
  <c r="S514" i="2" s="1"/>
  <c r="Q515" i="2"/>
  <c r="S515" i="2" s="1"/>
  <c r="Q516" i="2"/>
  <c r="S516" i="2" s="1"/>
  <c r="Q517" i="2"/>
  <c r="S517" i="2" s="1"/>
  <c r="Q518" i="2"/>
  <c r="Q519" i="2"/>
  <c r="S519" i="2" s="1"/>
  <c r="Q520" i="2"/>
  <c r="S520" i="2" s="1"/>
  <c r="Q521" i="2"/>
  <c r="S521" i="2" s="1"/>
  <c r="Q522" i="2"/>
  <c r="S522" i="2" s="1"/>
  <c r="Q523" i="2"/>
  <c r="S523" i="2" s="1"/>
  <c r="Q524" i="2"/>
  <c r="S524" i="2" s="1"/>
  <c r="Q525" i="2"/>
  <c r="S525" i="2" s="1"/>
  <c r="Q526" i="2"/>
  <c r="S526" i="2" s="1"/>
  <c r="Q527" i="2"/>
  <c r="S527" i="2" s="1"/>
  <c r="Q528" i="2"/>
  <c r="S528" i="2" s="1"/>
  <c r="Q529" i="2"/>
  <c r="S529" i="2" s="1"/>
  <c r="Q530" i="2"/>
  <c r="S530" i="2" s="1"/>
  <c r="Q531" i="2"/>
  <c r="S531" i="2" s="1"/>
  <c r="Q532" i="2"/>
  <c r="S532" i="2" s="1"/>
  <c r="Q533" i="2"/>
  <c r="S533" i="2" s="1"/>
  <c r="Q534" i="2"/>
  <c r="S534" i="2" s="1"/>
  <c r="Q535" i="2"/>
  <c r="S535" i="2" s="1"/>
  <c r="Q536" i="2"/>
  <c r="Q537" i="2"/>
  <c r="S537" i="2" s="1"/>
  <c r="Q538" i="2"/>
  <c r="S538" i="2" s="1"/>
  <c r="Q539" i="2"/>
  <c r="S539" i="2" s="1"/>
  <c r="Q540" i="2"/>
  <c r="S540" i="2" s="1"/>
  <c r="Q541" i="2"/>
  <c r="S541" i="2" s="1"/>
  <c r="Q542" i="2"/>
  <c r="S542" i="2" s="1"/>
  <c r="Q543" i="2"/>
  <c r="S543" i="2" s="1"/>
  <c r="Q544" i="2"/>
  <c r="S544" i="2" s="1"/>
  <c r="Q545" i="2"/>
  <c r="S545" i="2" s="1"/>
  <c r="Q546" i="2"/>
  <c r="S546" i="2" s="1"/>
  <c r="Q547" i="2"/>
  <c r="S547" i="2" s="1"/>
  <c r="Q548" i="2"/>
  <c r="S548" i="2" s="1"/>
  <c r="Q549" i="2"/>
  <c r="S549" i="2" s="1"/>
  <c r="Q550" i="2"/>
  <c r="S550" i="2" s="1"/>
  <c r="Q551" i="2"/>
  <c r="S551" i="2" s="1"/>
  <c r="Q552" i="2"/>
  <c r="S552" i="2" s="1"/>
  <c r="Q553" i="2"/>
  <c r="Q554" i="2"/>
  <c r="Q555" i="2"/>
  <c r="S555" i="2" s="1"/>
  <c r="Q556" i="2"/>
  <c r="S556" i="2" s="1"/>
  <c r="Q557" i="2"/>
  <c r="S557" i="2" s="1"/>
  <c r="Q558" i="2"/>
  <c r="S558" i="2" s="1"/>
  <c r="Q559" i="2"/>
  <c r="S559" i="2" s="1"/>
  <c r="Q560" i="2"/>
  <c r="S560" i="2" s="1"/>
  <c r="Q561" i="2"/>
  <c r="Q562" i="2"/>
  <c r="S562" i="2" s="1"/>
  <c r="Q563" i="2"/>
  <c r="S563" i="2" s="1"/>
  <c r="Q564" i="2"/>
  <c r="S564" i="2" s="1"/>
  <c r="Q565" i="2"/>
  <c r="S565" i="2" s="1"/>
  <c r="Q566" i="2"/>
  <c r="S566" i="2" s="1"/>
  <c r="Q567" i="2"/>
  <c r="S567" i="2" s="1"/>
  <c r="Q568" i="2"/>
  <c r="S568" i="2" s="1"/>
  <c r="Q569" i="2"/>
  <c r="S569" i="2" s="1"/>
  <c r="Q570" i="2"/>
  <c r="S570" i="2" s="1"/>
  <c r="Q571" i="2"/>
  <c r="S571" i="2" s="1"/>
  <c r="Q572" i="2"/>
  <c r="S572" i="2" s="1"/>
  <c r="Q573" i="2"/>
  <c r="S573" i="2" s="1"/>
  <c r="Q574" i="2"/>
  <c r="S574" i="2" s="1"/>
  <c r="Q575" i="2"/>
  <c r="S575" i="2" s="1"/>
  <c r="Q576" i="2"/>
  <c r="Q577" i="2"/>
  <c r="Q578" i="2"/>
  <c r="Q579" i="2"/>
  <c r="S579" i="2" s="1"/>
  <c r="Q580" i="2"/>
  <c r="S580" i="2" s="1"/>
  <c r="Q581" i="2"/>
  <c r="S581" i="2" s="1"/>
  <c r="Q582" i="2"/>
  <c r="S582" i="2" s="1"/>
  <c r="Q583" i="2"/>
  <c r="S583" i="2" s="1"/>
  <c r="Q584" i="2"/>
  <c r="S584" i="2" s="1"/>
  <c r="Q585" i="2"/>
  <c r="S585" i="2" s="1"/>
  <c r="Q586" i="2"/>
  <c r="S586" i="2" s="1"/>
  <c r="Q587" i="2"/>
  <c r="S587" i="2" s="1"/>
  <c r="Q588" i="2"/>
  <c r="S588" i="2" s="1"/>
  <c r="Q589" i="2"/>
  <c r="S589" i="2" s="1"/>
  <c r="Q590" i="2"/>
  <c r="S590" i="2" s="1"/>
  <c r="Q591" i="2"/>
  <c r="Q592" i="2"/>
  <c r="S592" i="2" s="1"/>
  <c r="Q593" i="2"/>
  <c r="S593" i="2" s="1"/>
  <c r="Q594" i="2"/>
  <c r="S594" i="2" s="1"/>
  <c r="Q595" i="2"/>
  <c r="S595" i="2" s="1"/>
  <c r="Q596" i="2"/>
  <c r="S596" i="2" s="1"/>
  <c r="Q597" i="2"/>
  <c r="S597" i="2" s="1"/>
  <c r="Q598" i="2"/>
  <c r="Q599" i="2"/>
  <c r="Q600" i="2"/>
  <c r="S600" i="2" s="1"/>
  <c r="Q601" i="2"/>
  <c r="S601" i="2" s="1"/>
  <c r="Q602" i="2"/>
  <c r="S602" i="2" s="1"/>
  <c r="Q603" i="2"/>
  <c r="S603" i="2" s="1"/>
  <c r="Q604" i="2"/>
  <c r="S604" i="2" s="1"/>
  <c r="Q605" i="2"/>
  <c r="S605" i="2" s="1"/>
  <c r="Q606" i="2"/>
  <c r="S606" i="2" s="1"/>
  <c r="Q607" i="2"/>
  <c r="S607" i="2" s="1"/>
  <c r="Q608" i="2"/>
  <c r="S608" i="2" s="1"/>
  <c r="Q609" i="2"/>
  <c r="S609" i="2" s="1"/>
  <c r="Q610" i="2"/>
  <c r="S610" i="2" s="1"/>
  <c r="Q611" i="2"/>
  <c r="S611" i="2" s="1"/>
  <c r="Q612" i="2"/>
  <c r="S612" i="2" s="1"/>
  <c r="Q613" i="2"/>
  <c r="S613" i="2" s="1"/>
  <c r="Q614" i="2"/>
  <c r="Q615" i="2"/>
  <c r="Q616" i="2"/>
  <c r="Q617" i="2"/>
  <c r="S617" i="2" s="1"/>
  <c r="Q618" i="2"/>
  <c r="S618" i="2" s="1"/>
  <c r="Q619" i="2"/>
  <c r="S619" i="2" s="1"/>
  <c r="Q620" i="2"/>
  <c r="S620" i="2" s="1"/>
  <c r="Q621" i="2"/>
  <c r="S621" i="2" s="1"/>
  <c r="Q622" i="2"/>
  <c r="S622" i="2" s="1"/>
  <c r="Q623" i="2"/>
  <c r="S623" i="2" s="1"/>
  <c r="Q624" i="2"/>
  <c r="S624" i="2" s="1"/>
  <c r="Q625" i="2"/>
  <c r="S625" i="2" s="1"/>
  <c r="Q626" i="2"/>
  <c r="S626" i="2" s="1"/>
  <c r="Q627" i="2"/>
  <c r="S627" i="2" s="1"/>
  <c r="Q628" i="2"/>
  <c r="S628" i="2" s="1"/>
  <c r="Q629" i="2"/>
  <c r="S629" i="2" s="1"/>
  <c r="Q630" i="2"/>
  <c r="S630" i="2" s="1"/>
  <c r="Q631" i="2"/>
  <c r="S631" i="2" s="1"/>
  <c r="Q632" i="2"/>
  <c r="S632" i="2" s="1"/>
  <c r="Q633" i="2"/>
  <c r="S633" i="2" s="1"/>
  <c r="Q634" i="2"/>
  <c r="Q635" i="2"/>
  <c r="S635" i="2" s="1"/>
  <c r="Q636" i="2"/>
  <c r="S636" i="2" s="1"/>
  <c r="Q637" i="2"/>
  <c r="S637" i="2" s="1"/>
  <c r="Q638" i="2"/>
  <c r="S638" i="2" s="1"/>
  <c r="Q639" i="2"/>
  <c r="S639" i="2" s="1"/>
  <c r="Q640" i="2"/>
  <c r="S640" i="2" s="1"/>
  <c r="Q641" i="2"/>
  <c r="S641" i="2" s="1"/>
  <c r="Q642" i="2"/>
  <c r="S642" i="2" s="1"/>
  <c r="Q643" i="2"/>
  <c r="S643" i="2" s="1"/>
  <c r="Q644" i="2"/>
  <c r="S644" i="2" s="1"/>
  <c r="Q645" i="2"/>
  <c r="S645" i="2" s="1"/>
  <c r="Q646" i="2"/>
  <c r="S646" i="2" s="1"/>
  <c r="Q647" i="2"/>
  <c r="S647" i="2" s="1"/>
  <c r="Q648" i="2"/>
  <c r="S648" i="2" s="1"/>
  <c r="Q649" i="2"/>
  <c r="S649" i="2" s="1"/>
  <c r="Q650" i="2"/>
  <c r="S650" i="2" s="1"/>
  <c r="Q651" i="2"/>
  <c r="S651" i="2" s="1"/>
  <c r="Q652" i="2"/>
  <c r="S652" i="2" s="1"/>
  <c r="Q653" i="2"/>
  <c r="S653" i="2" s="1"/>
  <c r="Q654" i="2"/>
  <c r="S654" i="2" s="1"/>
  <c r="Q655" i="2"/>
  <c r="S655" i="2" s="1"/>
  <c r="Q656" i="2"/>
  <c r="S656" i="2" s="1"/>
  <c r="Q657" i="2"/>
  <c r="S657" i="2" s="1"/>
  <c r="Q658" i="2"/>
  <c r="S658" i="2" s="1"/>
  <c r="Q659" i="2"/>
  <c r="S659" i="2" s="1"/>
  <c r="Q660" i="2"/>
  <c r="Q661" i="2"/>
  <c r="S661" i="2" s="1"/>
  <c r="Q662" i="2"/>
  <c r="S662" i="2" s="1"/>
  <c r="Q663" i="2"/>
  <c r="S663" i="2" s="1"/>
  <c r="Q664" i="2"/>
  <c r="S664" i="2" s="1"/>
  <c r="Q665" i="2"/>
  <c r="S665" i="2" s="1"/>
  <c r="Q666" i="2"/>
  <c r="S666" i="2" s="1"/>
  <c r="Q667" i="2"/>
  <c r="S667" i="2" s="1"/>
  <c r="Q668" i="2"/>
  <c r="S668" i="2" s="1"/>
  <c r="Q669" i="2"/>
  <c r="S669" i="2" s="1"/>
  <c r="Q670" i="2"/>
  <c r="S670" i="2" s="1"/>
  <c r="Q671" i="2"/>
  <c r="S671" i="2" s="1"/>
  <c r="Q672" i="2"/>
  <c r="Q673" i="2"/>
  <c r="Q674" i="2"/>
  <c r="S674" i="2" s="1"/>
  <c r="Q675" i="2"/>
  <c r="S675" i="2" s="1"/>
  <c r="Q676" i="2"/>
  <c r="S676" i="2" s="1"/>
  <c r="Q677" i="2"/>
  <c r="S677" i="2" s="1"/>
  <c r="Q678" i="2"/>
  <c r="S678" i="2" s="1"/>
  <c r="Q679" i="2"/>
  <c r="S679" i="2" s="1"/>
  <c r="Q680" i="2"/>
  <c r="S680" i="2" s="1"/>
  <c r="Q681" i="2"/>
  <c r="S681" i="2" s="1"/>
  <c r="Q682" i="2"/>
  <c r="S682" i="2" s="1"/>
  <c r="Q683" i="2"/>
  <c r="S683" i="2" s="1"/>
  <c r="Q684" i="2"/>
  <c r="S684" i="2" s="1"/>
  <c r="Q685" i="2"/>
  <c r="S685" i="2" s="1"/>
  <c r="Q686" i="2"/>
  <c r="S686" i="2" s="1"/>
  <c r="Q687" i="2"/>
  <c r="S687" i="2" s="1"/>
  <c r="Q688" i="2"/>
  <c r="Q689" i="2"/>
  <c r="S689" i="2" s="1"/>
  <c r="Q690" i="2"/>
  <c r="S690" i="2" s="1"/>
  <c r="Q691" i="2"/>
  <c r="S691" i="2" s="1"/>
  <c r="Q692" i="2"/>
  <c r="S692" i="2" s="1"/>
  <c r="Q693" i="2"/>
  <c r="S693" i="2" s="1"/>
  <c r="Q694" i="2"/>
  <c r="Q695" i="2"/>
  <c r="Q696" i="2"/>
  <c r="S696" i="2" s="1"/>
  <c r="Q697" i="2"/>
  <c r="S697" i="2" s="1"/>
  <c r="Q698" i="2"/>
  <c r="S698" i="2" s="1"/>
  <c r="Q699" i="2"/>
  <c r="S699" i="2" s="1"/>
  <c r="Q700" i="2"/>
  <c r="S700" i="2" s="1"/>
  <c r="Q701" i="2"/>
  <c r="S701" i="2" s="1"/>
  <c r="Q702" i="2"/>
  <c r="S702" i="2" s="1"/>
  <c r="Q703" i="2"/>
  <c r="S703" i="2" s="1"/>
  <c r="Q704" i="2"/>
  <c r="S704" i="2" s="1"/>
  <c r="Q705" i="2"/>
  <c r="S705" i="2" s="1"/>
  <c r="Q706" i="2"/>
  <c r="Q707" i="2"/>
  <c r="S707" i="2" s="1"/>
  <c r="Q708" i="2"/>
  <c r="S708" i="2" s="1"/>
  <c r="Q709" i="2"/>
  <c r="S709" i="2" s="1"/>
  <c r="Q710" i="2"/>
  <c r="Q711" i="2"/>
  <c r="S711" i="2" s="1"/>
  <c r="Q712" i="2"/>
  <c r="S712" i="2" s="1"/>
  <c r="Q713" i="2"/>
  <c r="S713" i="2" s="1"/>
  <c r="Q714" i="2"/>
  <c r="S714" i="2" s="1"/>
  <c r="Q715" i="2"/>
  <c r="S715" i="2" s="1"/>
  <c r="Q716" i="2"/>
  <c r="S716" i="2" s="1"/>
  <c r="Q717" i="2"/>
  <c r="S717" i="2" s="1"/>
  <c r="Q718" i="2"/>
  <c r="S718" i="2" s="1"/>
  <c r="Q719" i="2"/>
  <c r="S719" i="2" s="1"/>
  <c r="Q720" i="2"/>
  <c r="S720" i="2" s="1"/>
  <c r="Q721" i="2"/>
  <c r="S721" i="2" s="1"/>
  <c r="Q722" i="2"/>
  <c r="S722" i="2" s="1"/>
  <c r="Q723" i="2"/>
  <c r="S723" i="2" s="1"/>
  <c r="Q724" i="2"/>
  <c r="S724" i="2" s="1"/>
  <c r="Q725" i="2"/>
  <c r="S725" i="2" s="1"/>
  <c r="Q726" i="2"/>
  <c r="Q727" i="2"/>
  <c r="Q728" i="2"/>
  <c r="Q729" i="2"/>
  <c r="S729" i="2" s="1"/>
  <c r="Q730" i="2"/>
  <c r="S730" i="2" s="1"/>
  <c r="Q731" i="2"/>
  <c r="S731" i="2" s="1"/>
  <c r="Q732" i="2"/>
  <c r="S732" i="2" s="1"/>
  <c r="Q733" i="2"/>
  <c r="S733" i="2" s="1"/>
  <c r="Q734" i="2"/>
  <c r="S734" i="2" s="1"/>
  <c r="Q735" i="2"/>
  <c r="S735" i="2" s="1"/>
  <c r="Q736" i="2"/>
  <c r="S736" i="2" s="1"/>
  <c r="Q737" i="2"/>
  <c r="S737" i="2" s="1"/>
  <c r="Q738" i="2"/>
  <c r="S738" i="2" s="1"/>
  <c r="Q739" i="2"/>
  <c r="S739" i="2" s="1"/>
  <c r="Q740" i="2"/>
  <c r="S740" i="2" s="1"/>
  <c r="Q741" i="2"/>
  <c r="S741" i="2" s="1"/>
  <c r="Q742" i="2"/>
  <c r="Q743" i="2"/>
  <c r="S743" i="2" s="1"/>
  <c r="Q744" i="2"/>
  <c r="S744" i="2" s="1"/>
  <c r="Q745" i="2"/>
  <c r="S745" i="2" s="1"/>
  <c r="Q746" i="2"/>
  <c r="Q747" i="2"/>
  <c r="S747" i="2" s="1"/>
  <c r="Q748" i="2"/>
  <c r="S748" i="2" s="1"/>
  <c r="Q749" i="2"/>
  <c r="S749" i="2" s="1"/>
  <c r="Q750" i="2"/>
  <c r="S750" i="2" s="1"/>
  <c r="Q751" i="2"/>
  <c r="S751" i="2" s="1"/>
  <c r="Q752" i="2"/>
  <c r="S752" i="2" s="1"/>
  <c r="Q753" i="2"/>
  <c r="S753" i="2" s="1"/>
  <c r="Q754" i="2"/>
  <c r="S754" i="2" s="1"/>
  <c r="Q755" i="2"/>
  <c r="S755" i="2" s="1"/>
  <c r="Q756" i="2"/>
  <c r="S756" i="2" s="1"/>
  <c r="Q757" i="2"/>
  <c r="S757" i="2" s="1"/>
  <c r="Q758" i="2"/>
  <c r="Q759" i="2"/>
  <c r="Q760" i="2"/>
  <c r="Q761" i="2"/>
  <c r="S761" i="2" s="1"/>
  <c r="Q762" i="2"/>
  <c r="S762" i="2" s="1"/>
  <c r="Q763" i="2"/>
  <c r="S763" i="2" s="1"/>
  <c r="Q764" i="2"/>
  <c r="S764" i="2" s="1"/>
  <c r="Q765" i="2"/>
  <c r="S765" i="2" s="1"/>
  <c r="Q766" i="2"/>
  <c r="S766" i="2" s="1"/>
  <c r="Q767" i="2"/>
  <c r="S767" i="2" s="1"/>
  <c r="Q768" i="2"/>
  <c r="S768" i="2" s="1"/>
  <c r="Q769" i="2"/>
  <c r="S769" i="2" s="1"/>
  <c r="Q770" i="2"/>
  <c r="Q771" i="2"/>
  <c r="S771" i="2" s="1"/>
  <c r="Q772" i="2"/>
  <c r="S772" i="2" s="1"/>
  <c r="Q773" i="2"/>
  <c r="S773" i="2" s="1"/>
  <c r="Q774" i="2"/>
  <c r="Q775" i="2"/>
  <c r="Q776" i="2"/>
  <c r="S776" i="2" s="1"/>
  <c r="Q777" i="2"/>
  <c r="S777" i="2" s="1"/>
  <c r="Q778" i="2"/>
  <c r="S778" i="2" s="1"/>
  <c r="Q779" i="2"/>
  <c r="S779" i="2" s="1"/>
  <c r="Q780" i="2"/>
  <c r="S780" i="2" s="1"/>
  <c r="Q781" i="2"/>
  <c r="S781" i="2" s="1"/>
  <c r="Q782" i="2"/>
  <c r="S782" i="2" s="1"/>
  <c r="Q783" i="2"/>
  <c r="S783" i="2" s="1"/>
  <c r="Q784" i="2"/>
  <c r="Q785" i="2"/>
  <c r="Q786" i="2"/>
  <c r="Q787" i="2"/>
  <c r="S787" i="2" s="1"/>
  <c r="Q788" i="2"/>
  <c r="S788" i="2" s="1"/>
  <c r="Q789" i="2"/>
  <c r="S789" i="2" s="1"/>
  <c r="Q790" i="2"/>
  <c r="S790" i="2" s="1"/>
  <c r="Q791" i="2"/>
  <c r="S791" i="2" s="1"/>
  <c r="Q792" i="2"/>
  <c r="S792" i="2" s="1"/>
  <c r="Q793" i="2"/>
  <c r="S793" i="2" s="1"/>
  <c r="Q794" i="2"/>
  <c r="S794" i="2" s="1"/>
  <c r="Q795" i="2"/>
  <c r="S795" i="2" s="1"/>
  <c r="Q796" i="2"/>
  <c r="S796" i="2" s="1"/>
  <c r="Q797" i="2"/>
  <c r="S797" i="2" s="1"/>
  <c r="Q798" i="2"/>
  <c r="Q799" i="2"/>
  <c r="Q800" i="2"/>
  <c r="Q801" i="2"/>
  <c r="S801" i="2" s="1"/>
  <c r="Q802" i="2"/>
  <c r="S802" i="2" s="1"/>
  <c r="Q803" i="2"/>
  <c r="S803" i="2" s="1"/>
  <c r="Q804" i="2"/>
  <c r="S804" i="2" s="1"/>
  <c r="Q805" i="2"/>
  <c r="S805" i="2" s="1"/>
  <c r="Q806" i="2"/>
  <c r="S806" i="2" s="1"/>
  <c r="Q807" i="2"/>
  <c r="S807" i="2" s="1"/>
  <c r="Q808" i="2"/>
  <c r="S808" i="2" s="1"/>
  <c r="Q809" i="2"/>
  <c r="Q810" i="2"/>
  <c r="Q811" i="2"/>
  <c r="S811" i="2" s="1"/>
  <c r="Q812" i="2"/>
  <c r="S812" i="2" s="1"/>
  <c r="Q813" i="2"/>
  <c r="S813" i="2" s="1"/>
  <c r="Q814" i="2"/>
  <c r="Q815" i="2"/>
  <c r="S815" i="2" s="1"/>
  <c r="Q816" i="2"/>
  <c r="S816" i="2" s="1"/>
  <c r="Q817" i="2"/>
  <c r="S817" i="2" s="1"/>
  <c r="Q818" i="2"/>
  <c r="S818" i="2" s="1"/>
  <c r="Q819" i="2"/>
  <c r="S819" i="2" s="1"/>
  <c r="Q820" i="2"/>
  <c r="S820" i="2" s="1"/>
  <c r="Q821" i="2"/>
  <c r="S821" i="2" s="1"/>
  <c r="Q822" i="2"/>
  <c r="S822" i="2" s="1"/>
  <c r="Q823" i="2"/>
  <c r="Q824" i="2"/>
  <c r="Q825" i="2"/>
  <c r="Q826" i="2"/>
  <c r="S826" i="2" s="1"/>
  <c r="Q827" i="2"/>
  <c r="S827" i="2" s="1"/>
  <c r="Q828" i="2"/>
  <c r="S828" i="2" s="1"/>
  <c r="Q829" i="2"/>
  <c r="S829" i="2" s="1"/>
  <c r="Q830" i="2"/>
  <c r="S830" i="2" s="1"/>
  <c r="Q831" i="2"/>
  <c r="S831" i="2" s="1"/>
  <c r="Q832" i="2"/>
  <c r="S832" i="2" s="1"/>
  <c r="Q833" i="2"/>
  <c r="S833" i="2" s="1"/>
  <c r="Q834" i="2"/>
  <c r="Q835" i="2"/>
  <c r="S835" i="2" s="1"/>
  <c r="Q836" i="2"/>
  <c r="S836" i="2" s="1"/>
  <c r="Q837" i="2"/>
  <c r="S837" i="2" s="1"/>
  <c r="Q838" i="2"/>
  <c r="Q839" i="2"/>
  <c r="Q840" i="2"/>
  <c r="S840" i="2" s="1"/>
  <c r="Q841" i="2"/>
  <c r="S841" i="2" s="1"/>
  <c r="Q842" i="2"/>
  <c r="S842" i="2" s="1"/>
  <c r="Q843" i="2"/>
  <c r="S843" i="2" s="1"/>
  <c r="Q844" i="2"/>
  <c r="S844" i="2" s="1"/>
  <c r="Q845" i="2"/>
  <c r="S845" i="2" s="1"/>
  <c r="Q846" i="2"/>
  <c r="S846" i="2" s="1"/>
  <c r="Q847" i="2"/>
  <c r="S847" i="2" s="1"/>
  <c r="Q848" i="2"/>
  <c r="Q849" i="2"/>
  <c r="Q850" i="2"/>
  <c r="Q851" i="2"/>
  <c r="S851" i="2" s="1"/>
  <c r="Q852" i="2"/>
  <c r="S852" i="2" s="1"/>
  <c r="Q853" i="2"/>
  <c r="S853" i="2" s="1"/>
  <c r="Q854" i="2"/>
  <c r="S854" i="2" s="1"/>
  <c r="Q855" i="2"/>
  <c r="S855" i="2" s="1"/>
  <c r="Q856" i="2"/>
  <c r="S856" i="2" s="1"/>
  <c r="Q857" i="2"/>
  <c r="S857" i="2" s="1"/>
  <c r="Q858" i="2"/>
  <c r="S858" i="2" s="1"/>
  <c r="Q859" i="2"/>
  <c r="S859" i="2" s="1"/>
  <c r="Q860" i="2"/>
  <c r="S860" i="2" s="1"/>
  <c r="Q861" i="2"/>
  <c r="S861" i="2" s="1"/>
  <c r="Q862" i="2"/>
  <c r="Q863" i="2"/>
  <c r="Q864" i="2"/>
  <c r="Q865" i="2"/>
  <c r="S865" i="2" s="1"/>
  <c r="Q866" i="2"/>
  <c r="S866" i="2" s="1"/>
  <c r="Q867" i="2"/>
  <c r="S867" i="2" s="1"/>
  <c r="Q868" i="2"/>
  <c r="S868" i="2" s="1"/>
  <c r="Q869" i="2"/>
  <c r="S869" i="2" s="1"/>
  <c r="Q870" i="2"/>
  <c r="S870" i="2" s="1"/>
  <c r="Q871" i="2"/>
  <c r="S871" i="2" s="1"/>
  <c r="Q872" i="2"/>
  <c r="S872" i="2" s="1"/>
  <c r="Q873" i="2"/>
  <c r="Q874" i="2"/>
  <c r="Q875" i="2"/>
  <c r="S875" i="2" s="1"/>
  <c r="Q876" i="2"/>
  <c r="S876" i="2" s="1"/>
  <c r="Q877" i="2"/>
  <c r="S877" i="2" s="1"/>
  <c r="Q878" i="2"/>
  <c r="Q879" i="2"/>
  <c r="S879" i="2" s="1"/>
  <c r="Q880" i="2"/>
  <c r="S880" i="2" s="1"/>
  <c r="Q881" i="2"/>
  <c r="S881" i="2" s="1"/>
  <c r="Q882" i="2"/>
  <c r="S882" i="2" s="1"/>
  <c r="Q883" i="2"/>
  <c r="S883" i="2" s="1"/>
  <c r="Q884" i="2"/>
  <c r="S884" i="2" s="1"/>
  <c r="Q885" i="2"/>
  <c r="S885" i="2" s="1"/>
  <c r="Q886" i="2"/>
  <c r="S886" i="2" s="1"/>
  <c r="Q887" i="2"/>
  <c r="Q888" i="2"/>
  <c r="Q889" i="2"/>
  <c r="Q890" i="2"/>
  <c r="S890" i="2" s="1"/>
  <c r="Q891" i="2"/>
  <c r="S891" i="2" s="1"/>
  <c r="Q892" i="2"/>
  <c r="S892" i="2" s="1"/>
  <c r="Q893" i="2"/>
  <c r="S893" i="2" s="1"/>
  <c r="Q894" i="2"/>
  <c r="S894" i="2" s="1"/>
  <c r="Q895" i="2"/>
  <c r="S895" i="2" s="1"/>
  <c r="Q896" i="2"/>
  <c r="S896" i="2" s="1"/>
  <c r="Q897" i="2"/>
  <c r="S897" i="2" s="1"/>
  <c r="Q898" i="2"/>
  <c r="Q899" i="2"/>
  <c r="S899" i="2" s="1"/>
  <c r="Q900" i="2"/>
  <c r="S900" i="2" s="1"/>
  <c r="Q901" i="2"/>
  <c r="S901" i="2" s="1"/>
  <c r="Q902" i="2"/>
  <c r="Q903" i="2"/>
  <c r="Q904" i="2"/>
  <c r="S904" i="2" s="1"/>
  <c r="Q905" i="2"/>
  <c r="S905" i="2" s="1"/>
  <c r="Q906" i="2"/>
  <c r="S906" i="2" s="1"/>
  <c r="Q907" i="2"/>
  <c r="S907" i="2" s="1"/>
  <c r="Q908" i="2"/>
  <c r="S908" i="2" s="1"/>
  <c r="Q909" i="2"/>
  <c r="S909" i="2" s="1"/>
  <c r="Q910" i="2"/>
  <c r="S910" i="2" s="1"/>
  <c r="Q911" i="2"/>
  <c r="S911" i="2" s="1"/>
  <c r="Q912" i="2"/>
  <c r="Q913" i="2"/>
  <c r="Q914" i="2"/>
  <c r="Q915" i="2"/>
  <c r="S915" i="2" s="1"/>
  <c r="Q916" i="2"/>
  <c r="S916" i="2" s="1"/>
  <c r="Q917" i="2"/>
  <c r="S917" i="2" s="1"/>
  <c r="Q918" i="2"/>
  <c r="S918" i="2" s="1"/>
  <c r="Q919" i="2"/>
  <c r="S919" i="2" s="1"/>
  <c r="Q920" i="2"/>
  <c r="S920" i="2" s="1"/>
  <c r="Q921" i="2"/>
  <c r="S921" i="2" s="1"/>
  <c r="Q922" i="2"/>
  <c r="S922" i="2" s="1"/>
  <c r="Q923" i="2"/>
  <c r="S923" i="2" s="1"/>
  <c r="Q924" i="2"/>
  <c r="S924" i="2" s="1"/>
  <c r="Q925" i="2"/>
  <c r="S925" i="2" s="1"/>
  <c r="Q926" i="2"/>
  <c r="Q927" i="2"/>
  <c r="Q928" i="2"/>
  <c r="Q929" i="2"/>
  <c r="S929" i="2" s="1"/>
  <c r="Q930" i="2"/>
  <c r="S930" i="2" s="1"/>
  <c r="Q931" i="2"/>
  <c r="S931" i="2" s="1"/>
  <c r="Q932" i="2"/>
  <c r="S932" i="2" s="1"/>
  <c r="Q933" i="2"/>
  <c r="S933" i="2" s="1"/>
  <c r="Q934" i="2"/>
  <c r="S934" i="2" s="1"/>
  <c r="Q935" i="2"/>
  <c r="S935" i="2" s="1"/>
  <c r="Q936" i="2"/>
  <c r="S936" i="2" s="1"/>
  <c r="Q937" i="2"/>
  <c r="Q938" i="2"/>
  <c r="Q939" i="2"/>
  <c r="S939" i="2" s="1"/>
  <c r="Q940" i="2"/>
  <c r="S940" i="2" s="1"/>
  <c r="Q941" i="2"/>
  <c r="S941" i="2" s="1"/>
  <c r="Q942" i="2"/>
  <c r="Q943" i="2"/>
  <c r="S943" i="2" s="1"/>
  <c r="Q944" i="2"/>
  <c r="S944" i="2" s="1"/>
  <c r="Q945" i="2"/>
  <c r="S945" i="2" s="1"/>
  <c r="Q946" i="2"/>
  <c r="S946" i="2" s="1"/>
  <c r="Q947" i="2"/>
  <c r="S947" i="2" s="1"/>
  <c r="Q948" i="2"/>
  <c r="S948" i="2" s="1"/>
  <c r="Q949" i="2"/>
  <c r="S949" i="2" s="1"/>
  <c r="Q950" i="2"/>
  <c r="Q951" i="2"/>
  <c r="Q952" i="2"/>
  <c r="Q953" i="2"/>
  <c r="S953" i="2" s="1"/>
  <c r="Q954" i="2"/>
  <c r="S954" i="2" s="1"/>
  <c r="Q955" i="2"/>
  <c r="S955" i="2" s="1"/>
  <c r="Q956" i="2"/>
  <c r="S956" i="2" s="1"/>
  <c r="Q957" i="2"/>
  <c r="S957" i="2" s="1"/>
  <c r="Q958" i="2"/>
  <c r="S958" i="2" s="1"/>
  <c r="Q959" i="2"/>
  <c r="S959" i="2" s="1"/>
  <c r="Q960" i="2"/>
  <c r="Q961" i="2"/>
  <c r="Q962" i="2"/>
  <c r="Q963" i="2"/>
  <c r="S963" i="2" s="1"/>
  <c r="Q964" i="2"/>
  <c r="S964" i="2" s="1"/>
  <c r="Q965" i="2"/>
  <c r="S965" i="2" s="1"/>
  <c r="Q966" i="2"/>
  <c r="S966" i="2" s="1"/>
  <c r="Q967" i="2"/>
  <c r="S967" i="2" s="1"/>
  <c r="Q968" i="2"/>
  <c r="S968" i="2" s="1"/>
  <c r="Q969" i="2"/>
  <c r="S969" i="2" s="1"/>
  <c r="Q970" i="2"/>
  <c r="Q971" i="2"/>
  <c r="S971" i="2" s="1"/>
  <c r="Q972" i="2"/>
  <c r="S972" i="2" s="1"/>
  <c r="Q973" i="2"/>
  <c r="S973" i="2" s="1"/>
  <c r="Q974" i="2"/>
  <c r="Q975" i="2"/>
  <c r="S975" i="2" s="1"/>
  <c r="Q976" i="2"/>
  <c r="S976" i="2" s="1"/>
  <c r="Q977" i="2"/>
  <c r="S977" i="2" s="1"/>
  <c r="Q978" i="2"/>
  <c r="S978" i="2" s="1"/>
  <c r="Q979" i="2"/>
  <c r="S979" i="2" s="1"/>
  <c r="Q980" i="2"/>
  <c r="S980" i="2" s="1"/>
  <c r="Q981" i="2"/>
  <c r="S981" i="2" s="1"/>
  <c r="Q982" i="2"/>
  <c r="Q983" i="2"/>
  <c r="Q984" i="2"/>
  <c r="S984" i="2" s="1"/>
  <c r="Q985" i="2"/>
  <c r="S985" i="2" s="1"/>
  <c r="Q986" i="2"/>
  <c r="S986" i="2" s="1"/>
  <c r="Q987" i="2"/>
  <c r="S987" i="2" s="1"/>
  <c r="Q988" i="2"/>
  <c r="S988" i="2" s="1"/>
  <c r="Q989" i="2"/>
  <c r="S989" i="2" s="1"/>
  <c r="Q990" i="2"/>
  <c r="Q991" i="2"/>
  <c r="Q992" i="2"/>
  <c r="S992" i="2" s="1"/>
  <c r="Q993" i="2"/>
  <c r="S993" i="2" s="1"/>
  <c r="Q994" i="2"/>
  <c r="S994" i="2" s="1"/>
  <c r="Q995" i="2"/>
  <c r="S995" i="2" s="1"/>
  <c r="Q996" i="2"/>
  <c r="S996" i="2" s="1"/>
  <c r="Q997" i="2"/>
  <c r="S997" i="2" s="1"/>
  <c r="Q998" i="2"/>
  <c r="Q999" i="2"/>
  <c r="Q1000" i="2"/>
  <c r="S1000" i="2" s="1"/>
  <c r="Q1001" i="2"/>
  <c r="S10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B6FE43-54FC-44BE-9B4D-D3D2917ADD57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C1B31F3F-A12C-40AD-9123-885D158C2647}" keepAlive="1" name="Query - global_freelancer_raw (2)" description="Connection to the 'global_freelancer_raw (2)' query in the workbook." type="5" refreshedVersion="0" background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<sst xmlns="http://schemas.openxmlformats.org/spreadsheetml/2006/main" count="14828" uniqueCount="4138">
  <si>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</si>
  <si>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</si>
  <si>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</si>
  <si>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</si>
  <si>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</si>
  <si>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</si>
  <si>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</si>
  <si>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</si>
  <si>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</si>
  <si>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</si>
  <si>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</si>
  <si>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</si>
  <si>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</si>
  <si>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</si>
  <si>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</si>
  <si>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</si>
  <si>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</si>
  <si>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</si>
  <si>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</si>
  <si>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</si>
  <si>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</si>
  <si>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</si>
  <si>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</si>
  <si>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</si>
  <si>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</si>
  <si>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</si>
  <si>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</si>
  <si>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</si>
  <si>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</si>
  <si>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</si>
  <si>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</si>
  <si>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</si>
  <si>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</si>
  <si>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</si>
  <si>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</si>
  <si>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</si>
  <si>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</si>
  <si>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</si>
  <si>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</si>
  <si>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</si>
  <si>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</si>
  <si>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</si>
  <si>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</si>
  <si>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</si>
  <si>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</si>
  <si>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</si>
  <si>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</si>
  <si>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</si>
  <si>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</si>
  <si>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</si>
  <si>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</si>
  <si>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</si>
  <si>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</si>
  <si>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</si>
  <si>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</si>
  <si>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</si>
  <si>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</si>
  <si>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</si>
  <si>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</si>
  <si>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</si>
  <si>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</si>
  <si>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</si>
  <si>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</si>
  <si>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</si>
  <si>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</si>
  <si>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</si>
  <si>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</si>
  <si>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</si>
  <si>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</si>
  <si>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</si>
  <si>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</si>
  <si>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</si>
  <si>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</si>
  <si>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</si>
  <si>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</si>
  <si>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</si>
  <si>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</si>
  <si>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</si>
  <si>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</si>
  <si>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</si>
  <si>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</si>
  <si>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</si>
  <si>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</si>
  <si>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</si>
  <si>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</si>
  <si>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</si>
  <si>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</si>
  <si>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</si>
  <si>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</si>
  <si>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</si>
  <si>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</si>
  <si>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</si>
  <si>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</si>
  <si>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</si>
  <si>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</si>
  <si>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</si>
  <si>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</si>
  <si>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</si>
  <si>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</si>
  <si>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</si>
  <si>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</si>
  <si>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</si>
  <si>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</si>
  <si>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</si>
  <si>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</si>
  <si>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</si>
  <si>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</si>
  <si>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</si>
  <si>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</si>
  <si>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</si>
  <si>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</si>
  <si>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</si>
  <si>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</si>
  <si>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</si>
  <si>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</si>
  <si>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</si>
  <si>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</si>
  <si>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</si>
  <si>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</si>
  <si>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</si>
  <si>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</si>
  <si>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</si>
  <si>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</si>
  <si>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</si>
  <si>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</si>
  <si>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</si>
  <si>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</si>
  <si>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</si>
  <si>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</si>
  <si>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</si>
  <si>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</si>
  <si>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</si>
  <si>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</si>
  <si>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</si>
  <si>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</si>
  <si>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</si>
  <si>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</si>
  <si>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</si>
  <si>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</si>
  <si>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</si>
  <si>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</si>
  <si>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</si>
  <si>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</si>
  <si>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</si>
  <si>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</si>
  <si>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</si>
  <si>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</si>
  <si>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</si>
  <si>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</si>
  <si>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</si>
  <si>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</si>
  <si>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</si>
  <si>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</si>
  <si>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</si>
  <si>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</si>
  <si>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</si>
  <si>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</si>
  <si>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</si>
  <si>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</si>
  <si>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</si>
  <si>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</si>
  <si>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</si>
  <si>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</si>
  <si>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</si>
  <si>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</si>
  <si>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</si>
  <si>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</si>
  <si>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</si>
  <si>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</si>
  <si>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</si>
  <si>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</si>
  <si>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</si>
  <si>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</si>
  <si>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</si>
  <si>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</si>
  <si>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</si>
  <si>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</si>
  <si>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</si>
  <si>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</si>
  <si>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</si>
  <si>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</si>
  <si>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</si>
  <si>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</si>
  <si>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</si>
  <si>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</si>
  <si>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</si>
  <si>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</si>
  <si>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</si>
  <si>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</si>
  <si>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</si>
  <si>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</si>
  <si>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</si>
  <si>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</si>
  <si>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</si>
  <si>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</si>
  <si>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</si>
  <si>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</si>
  <si>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</si>
  <si>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</si>
  <si>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</si>
  <si>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</si>
  <si>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</si>
  <si>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</si>
  <si>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</si>
  <si>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</si>
  <si>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</si>
  <si>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</si>
  <si>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</si>
  <si>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</si>
  <si>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</si>
  <si>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</si>
  <si>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</si>
  <si>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</si>
  <si>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</si>
  <si>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</si>
  <si>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</si>
  <si>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</si>
  <si>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</si>
  <si>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</si>
  <si>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</si>
  <si>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</si>
  <si>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</si>
  <si>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</si>
  <si>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</si>
  <si>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</si>
  <si>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</si>
  <si>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</si>
  <si>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</si>
  <si>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</si>
  <si>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</si>
  <si>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</si>
  <si>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</si>
  <si>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</si>
  <si>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</si>
  <si>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</si>
  <si>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</si>
  <si>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</si>
  <si>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</si>
  <si>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</si>
  <si>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</si>
  <si>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</si>
  <si>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</si>
  <si>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</si>
  <si>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</si>
  <si>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</si>
  <si>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</si>
  <si>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</si>
  <si>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</si>
  <si>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</si>
  <si>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</si>
  <si>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</si>
  <si>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</si>
  <si>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</si>
  <si>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</si>
  <si>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</si>
  <si>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</si>
  <si>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</si>
  <si>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</si>
  <si>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</si>
  <si>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</si>
  <si>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</si>
  <si>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</si>
  <si>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</si>
  <si>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</si>
  <si>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</si>
  <si>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</si>
  <si>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</si>
  <si>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</si>
  <si>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</si>
  <si>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</si>
  <si>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</si>
  <si>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</si>
  <si>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</si>
  <si>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</si>
  <si>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</si>
  <si>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</si>
  <si>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</si>
  <si>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</si>
  <si>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</si>
  <si>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</si>
  <si>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</si>
  <si>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</si>
  <si>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</si>
  <si>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</si>
  <si>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</si>
  <si>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</si>
  <si>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</si>
  <si>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</si>
  <si>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</si>
  <si>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</si>
  <si>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</si>
  <si>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</si>
  <si>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</si>
  <si>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</si>
  <si>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</si>
  <si>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</si>
  <si>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</si>
  <si>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</si>
  <si>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</si>
  <si>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</si>
  <si>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</si>
  <si>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</si>
  <si>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</si>
  <si>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</si>
  <si>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</si>
  <si>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</si>
  <si>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</si>
  <si>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</si>
  <si>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</si>
  <si>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</si>
  <si>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</si>
  <si>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</si>
  <si>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</si>
  <si>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</si>
  <si>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</si>
  <si>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</si>
  <si>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</si>
  <si>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</si>
  <si>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</si>
  <si>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</si>
  <si>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</si>
  <si>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</si>
  <si>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</si>
  <si>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</si>
  <si>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</si>
  <si>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</si>
  <si>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</si>
  <si>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</si>
  <si>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</si>
  <si>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</si>
  <si>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</si>
  <si>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</si>
  <si>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</si>
  <si>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</si>
  <si>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</si>
  <si>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</si>
  <si>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</si>
  <si>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</si>
  <si>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</si>
  <si>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</si>
  <si>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</si>
  <si>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</si>
  <si>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</si>
  <si>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</si>
  <si>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</si>
  <si>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</si>
  <si>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</si>
  <si>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</si>
  <si>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</si>
  <si>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</si>
  <si>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</si>
  <si>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</si>
  <si>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</si>
  <si>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</si>
  <si>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</si>
  <si>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</si>
  <si>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</si>
  <si>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</si>
  <si>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</si>
  <si>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</si>
  <si>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</si>
  <si>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</si>
  <si>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</si>
  <si>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</si>
  <si>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</si>
  <si>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</si>
  <si>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</si>
  <si>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</si>
  <si>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</si>
  <si>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</si>
  <si>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</si>
  <si>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</si>
  <si>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</si>
  <si>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</si>
  <si>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</si>
  <si>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</si>
  <si>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</si>
  <si>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</si>
  <si>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</si>
  <si>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</si>
  <si>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</si>
  <si>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</si>
  <si>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</si>
  <si>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</si>
  <si>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</si>
  <si>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</si>
  <si>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</si>
  <si>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</si>
  <si>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</si>
  <si>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</si>
  <si>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</si>
  <si>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</si>
  <si>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</si>
  <si>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</si>
  <si>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</si>
  <si>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</si>
  <si>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</si>
  <si>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</si>
  <si>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</si>
  <si>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</si>
  <si>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</si>
  <si>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</si>
  <si>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</si>
  <si>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</si>
  <si>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</si>
  <si>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</si>
  <si>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</si>
  <si>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</si>
  <si>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</si>
  <si>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</si>
  <si>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</si>
  <si>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</si>
  <si>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</si>
  <si>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</si>
  <si>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</si>
  <si>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</si>
  <si>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</si>
  <si>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</si>
  <si>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</si>
  <si>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</si>
  <si>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</si>
  <si>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</si>
  <si>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</si>
  <si>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</si>
  <si>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</si>
  <si>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</si>
  <si>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</si>
  <si>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</si>
  <si>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</si>
  <si>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</si>
  <si>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</si>
  <si>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</si>
  <si>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</si>
  <si>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</si>
  <si>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</si>
  <si>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</si>
  <si>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</si>
  <si>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</si>
  <si>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</si>
  <si>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</si>
  <si>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</si>
  <si>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</si>
  <si>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</si>
  <si>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</si>
  <si>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</si>
  <si>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</si>
  <si>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</si>
  <si>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</si>
  <si>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</si>
  <si>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</si>
  <si>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</si>
  <si>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</si>
  <si>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</si>
  <si>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</si>
  <si>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</si>
  <si>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</si>
  <si>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</si>
  <si>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</si>
  <si>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</si>
  <si>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</si>
  <si>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</si>
  <si>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</si>
  <si>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</si>
  <si>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</si>
  <si>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</si>
  <si>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</si>
  <si>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</si>
  <si>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</si>
  <si>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</si>
  <si>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</si>
  <si>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</si>
  <si>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</si>
  <si>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</si>
  <si>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</si>
  <si>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</si>
  <si>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</si>
  <si>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</si>
  <si>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</si>
  <si>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</si>
  <si>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</si>
  <si>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</si>
  <si>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</si>
  <si>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</si>
  <si>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</si>
  <si>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</si>
  <si>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</si>
  <si>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</si>
  <si>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</si>
  <si>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</si>
  <si>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</si>
  <si>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</si>
  <si>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</si>
  <si>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</si>
  <si>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</si>
  <si>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</si>
  <si>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</si>
  <si>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</si>
  <si>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</si>
  <si>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</si>
  <si>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</si>
  <si>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</si>
  <si>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</si>
  <si>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</si>
  <si>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</si>
  <si>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</si>
  <si>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</si>
  <si>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</si>
  <si>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</si>
  <si>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</si>
  <si>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</si>
  <si>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</si>
  <si>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</si>
  <si>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</si>
  <si>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</si>
  <si>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</si>
  <si>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</si>
  <si>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</si>
  <si>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</si>
  <si>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</si>
  <si>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</si>
  <si>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</si>
  <si>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</si>
  <si>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</si>
  <si>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</si>
  <si>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</si>
  <si>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</si>
  <si>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</si>
  <si>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</si>
  <si>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</si>
  <si>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</si>
  <si>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</si>
  <si>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</si>
  <si>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</si>
  <si>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</si>
  <si>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</si>
  <si>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</si>
  <si>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</si>
  <si>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</si>
  <si>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</si>
  <si>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</si>
  <si>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</si>
  <si>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</si>
  <si>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</si>
  <si>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</si>
  <si>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</si>
  <si>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</si>
  <si>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</si>
  <si>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</si>
  <si>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</si>
  <si>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</si>
  <si>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</si>
  <si>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</si>
  <si>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</si>
  <si>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</si>
  <si>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</si>
  <si>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</si>
  <si>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</si>
  <si>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</si>
  <si>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</si>
  <si>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</si>
  <si>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</si>
  <si>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</si>
  <si>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</si>
  <si>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</si>
  <si>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</si>
  <si>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</si>
  <si>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</si>
  <si>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</si>
  <si>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</si>
  <si>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</si>
  <si>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</si>
  <si>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</si>
  <si>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</si>
  <si>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</si>
  <si>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</si>
  <si>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</si>
  <si>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</si>
  <si>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</si>
  <si>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</si>
  <si>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</si>
  <si>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</si>
  <si>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</si>
  <si>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</si>
  <si>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</si>
  <si>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</si>
  <si>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</si>
  <si>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</si>
  <si>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</si>
  <si>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</si>
  <si>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</si>
  <si>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</si>
  <si>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</si>
  <si>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</si>
  <si>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</si>
  <si>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</si>
  <si>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</si>
  <si>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</si>
  <si>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</si>
  <si>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</si>
  <si>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</si>
  <si>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</si>
  <si>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</si>
  <si>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</si>
  <si>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</si>
  <si>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</si>
  <si>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</si>
  <si>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</si>
  <si>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</si>
  <si>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</si>
  <si>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</si>
  <si>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</si>
  <si>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</si>
  <si>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</si>
  <si>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</si>
  <si>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</si>
  <si>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</si>
  <si>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</si>
  <si>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</si>
  <si>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</si>
  <si>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</si>
  <si>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</si>
  <si>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</si>
  <si>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</si>
  <si>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</si>
  <si>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</si>
  <si>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</si>
  <si>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</si>
  <si>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</si>
  <si>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</si>
  <si>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</si>
  <si>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</si>
  <si>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</si>
  <si>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</si>
  <si>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</si>
  <si>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</si>
  <si>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</si>
  <si>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</si>
  <si>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</si>
  <si>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</si>
  <si>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</si>
  <si>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</si>
  <si>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</si>
  <si>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</si>
  <si>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</si>
  <si>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</si>
  <si>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</si>
  <si>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</si>
  <si>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</si>
  <si>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</si>
  <si>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</si>
  <si>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</si>
  <si>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</si>
  <si>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</si>
  <si>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</si>
  <si>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</si>
  <si>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</si>
  <si>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</si>
  <si>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</si>
  <si>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</si>
  <si>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</si>
  <si>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</si>
  <si>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</si>
  <si>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</si>
  <si>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</si>
  <si>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</si>
  <si>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</si>
  <si>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</si>
  <si>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</si>
  <si>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</si>
  <si>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</si>
  <si>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</si>
  <si>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</si>
  <si>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</si>
  <si>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</si>
  <si>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</si>
  <si>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</si>
  <si>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</si>
  <si>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</si>
  <si>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</si>
  <si>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</si>
  <si>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</si>
  <si>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</si>
  <si>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</si>
  <si>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</si>
  <si>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</si>
  <si>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</si>
  <si>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</si>
  <si>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</si>
  <si>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</si>
  <si>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</si>
  <si>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</si>
  <si>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</si>
  <si>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</si>
  <si>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</si>
  <si>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</si>
  <si>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</si>
  <si>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</si>
  <si>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</si>
  <si>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</si>
  <si>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</si>
  <si>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</si>
  <si>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</si>
  <si>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</si>
  <si>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</si>
  <si>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</si>
  <si>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</si>
  <si>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</si>
  <si>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</si>
  <si>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</si>
  <si>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</si>
  <si>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</si>
  <si>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</si>
  <si>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</si>
  <si>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</si>
  <si>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</si>
  <si>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</si>
  <si>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</si>
  <si>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</si>
  <si>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</si>
  <si>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</si>
  <si>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</si>
  <si>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</si>
  <si>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</si>
  <si>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</si>
  <si>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</si>
  <si>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</si>
  <si>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</si>
  <si>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</si>
  <si>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</si>
  <si>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</si>
  <si>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</si>
  <si>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</si>
  <si>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</si>
  <si>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</si>
  <si>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</si>
  <si>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</si>
  <si>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</si>
  <si>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</si>
  <si>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</si>
  <si>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</si>
  <si>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</si>
  <si>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</si>
  <si>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</si>
  <si>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</si>
  <si>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</si>
  <si>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</si>
  <si>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</si>
  <si>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</si>
  <si>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</si>
  <si>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</si>
  <si>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</si>
  <si>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</si>
  <si>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</si>
  <si>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</si>
  <si>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</si>
  <si>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</si>
  <si>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</si>
  <si>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</si>
  <si>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</si>
  <si>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</si>
  <si>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</si>
  <si>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</si>
  <si>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</si>
  <si>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</si>
  <si>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</si>
  <si>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</si>
  <si>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</si>
  <si>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</si>
  <si>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</si>
  <si>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</si>
  <si>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</si>
  <si>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</si>
  <si>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</si>
  <si>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</si>
  <si>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</si>
  <si>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</si>
  <si>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</si>
  <si>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</si>
  <si>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</si>
  <si>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</si>
  <si>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</si>
  <si>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</si>
  <si>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</si>
  <si>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</si>
  <si>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</si>
  <si>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</si>
  <si>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</si>
  <si>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</si>
  <si>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</si>
  <si>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</si>
  <si>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</si>
  <si>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</si>
  <si>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</si>
  <si>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</si>
  <si>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</si>
  <si>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</si>
  <si>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</si>
  <si>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</si>
  <si>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</si>
  <si>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</si>
  <si>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</si>
  <si>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</si>
  <si>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</si>
  <si>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</si>
  <si>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</si>
  <si>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</si>
  <si>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</si>
  <si>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</si>
  <si>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</si>
  <si>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</si>
  <si>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</si>
  <si>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</si>
  <si>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</si>
  <si>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</si>
  <si>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</si>
  <si>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</si>
  <si>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</si>
  <si>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</si>
  <si>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</si>
  <si>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</si>
  <si>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</si>
  <si>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</si>
  <si>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</si>
  <si>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</si>
  <si>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</si>
  <si>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</si>
  <si>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</si>
  <si>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</si>
  <si>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</si>
  <si>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</si>
  <si>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</si>
  <si>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</si>
  <si>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</si>
  <si>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</si>
  <si>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</si>
  <si>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</si>
  <si>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</si>
  <si>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</si>
  <si>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</si>
  <si>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</si>
  <si>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</si>
  <si>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</si>
  <si>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</si>
  <si>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</si>
  <si>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</si>
  <si>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</si>
  <si>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</si>
  <si>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</si>
  <si>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</si>
  <si>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</si>
  <si>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</si>
  <si>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</si>
  <si>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</si>
  <si>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</si>
  <si>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</si>
  <si>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</si>
  <si>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</si>
  <si>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</si>
  <si>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</si>
  <si>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</si>
  <si>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</si>
  <si>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</si>
  <si>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</si>
  <si>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</si>
  <si>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</si>
  <si>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</si>
  <si>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</si>
  <si>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</si>
  <si>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</si>
  <si>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</si>
  <si>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</si>
  <si>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</si>
  <si>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</si>
  <si>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</si>
  <si>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</si>
  <si>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</si>
  <si>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</si>
  <si>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</si>
  <si>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</si>
  <si>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</si>
  <si>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</si>
  <si>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</si>
  <si>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</si>
  <si>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</si>
  <si>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</si>
  <si>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</si>
  <si>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</si>
  <si>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</si>
  <si>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</si>
  <si>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</si>
  <si>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</si>
  <si>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</si>
  <si>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</si>
  <si>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</si>
  <si>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</si>
  <si>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</si>
  <si>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</si>
  <si>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</si>
  <si>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</si>
  <si>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</si>
  <si>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</si>
  <si>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</si>
  <si>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</si>
  <si>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</si>
  <si>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</si>
  <si>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</si>
  <si>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</si>
  <si>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</si>
  <si>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</si>
  <si>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</si>
  <si>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</si>
  <si>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</si>
  <si>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</si>
  <si>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</si>
  <si>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</si>
  <si>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</si>
  <si>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</si>
  <si>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</si>
  <si>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</si>
  <si>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</si>
  <si>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</si>
  <si>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</si>
  <si>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</si>
  <si>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</si>
  <si>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</si>
  <si>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</si>
  <si>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</si>
  <si>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</si>
  <si>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</si>
  <si>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</si>
  <si>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</si>
  <si>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</si>
  <si>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</si>
  <si>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</si>
  <si>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</si>
  <si>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</si>
  <si>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</si>
  <si>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</si>
  <si>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</si>
  <si>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</si>
  <si>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</si>
  <si>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</si>
  <si>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</si>
  <si>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</si>
  <si>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</si>
  <si>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</si>
  <si>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</si>
  <si>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</si>
  <si>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</si>
  <si>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</si>
  <si>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</si>
  <si>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</si>
  <si>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</si>
  <si>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</si>
  <si>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</si>
  <si>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</si>
  <si>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</si>
  <si>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</si>
  <si>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</si>
  <si>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</si>
  <si>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</si>
  <si>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</si>
  <si>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</si>
  <si>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</si>
  <si>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</si>
  <si>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</si>
  <si>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</si>
  <si>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</si>
  <si>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</si>
  <si>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</si>
  <si>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</si>
  <si>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</si>
  <si>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</si>
  <si>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</si>
  <si>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</si>
  <si>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</si>
  <si>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</si>
  <si>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</si>
  <si>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</si>
  <si>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</si>
  <si>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</si>
  <si>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</si>
  <si>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</si>
  <si>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</si>
  <si>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</si>
  <si>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</si>
  <si>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</si>
  <si>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</si>
  <si>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</si>
  <si>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</si>
  <si>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</si>
  <si>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</si>
  <si>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</si>
  <si>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</si>
  <si>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</si>
  <si>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</si>
  <si>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</si>
  <si>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</si>
  <si>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</si>
  <si>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</si>
  <si>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</si>
  <si>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</si>
  <si>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</si>
  <si>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</si>
  <si>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</si>
  <si>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</si>
  <si>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</si>
  <si>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</si>
  <si>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</si>
  <si>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</si>
  <si>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</si>
  <si>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</si>
  <si>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</si>
  <si>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</si>
  <si>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</si>
  <si>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</si>
  <si>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</si>
  <si>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</si>
  <si>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</si>
  <si>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</si>
  <si>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</si>
  <si>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</si>
  <si>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</si>
  <si>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</si>
  <si>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</si>
  <si>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</si>
  <si>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</si>
  <si>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</si>
  <si>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</si>
  <si>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</si>
  <si>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</si>
  <si>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</si>
  <si>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</si>
  <si>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</si>
  <si>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</si>
  <si>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</si>
  <si>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</si>
  <si>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</si>
  <si>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</si>
  <si>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</si>
  <si>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</si>
  <si>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</si>
  <si>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</si>
  <si>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</si>
  <si>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</si>
  <si>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</si>
  <si>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</si>
  <si>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</si>
  <si>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</si>
  <si>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</si>
  <si>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</si>
  <si>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</si>
  <si>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</si>
  <si>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</si>
  <si>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</si>
  <si>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</si>
  <si>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</si>
  <si>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</si>
  <si>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</si>
  <si>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</si>
  <si>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</si>
  <si>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</si>
  <si>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</si>
  <si>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</si>
  <si>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</si>
  <si>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</si>
  <si>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</si>
  <si>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</si>
  <si>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</si>
  <si>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</si>
  <si>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</si>
  <si>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</si>
  <si>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</si>
  <si>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</si>
  <si>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</si>
  <si>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</si>
  <si>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</si>
  <si>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</si>
  <si>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</si>
  <si>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</si>
  <si>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</si>
  <si>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</si>
  <si>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</si>
  <si>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</si>
  <si>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</si>
  <si>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</si>
  <si>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</si>
  <si>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</si>
  <si>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</si>
  <si>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</si>
  <si>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</si>
  <si>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</si>
  <si>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</si>
  <si>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</si>
  <si>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</si>
  <si>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</si>
  <si>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</si>
  <si>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</si>
  <si>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</si>
  <si>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</si>
  <si>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</si>
  <si>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</si>
  <si>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</si>
  <si>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</si>
  <si>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</si>
  <si>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</si>
  <si>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</si>
  <si>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</si>
  <si>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</si>
  <si>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</si>
  <si>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</si>
  <si>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</si>
  <si>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</si>
  <si>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</si>
  <si>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</si>
  <si>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</si>
  <si>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</si>
  <si>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</si>
  <si>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</si>
  <si>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</si>
  <si>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</si>
  <si>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</si>
  <si>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</si>
  <si>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</si>
  <si>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</si>
  <si>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</si>
  <si>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</si>
  <si>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</si>
  <si>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</si>
  <si>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</si>
  <si>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</si>
  <si>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</si>
  <si>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</si>
  <si>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</si>
  <si>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</si>
  <si>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</si>
  <si>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</si>
  <si>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</si>
  <si>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</si>
  <si>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</si>
  <si>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</si>
  <si>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</si>
  <si>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</si>
  <si>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</si>
  <si>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</si>
  <si>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</si>
  <si>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</si>
  <si>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</si>
  <si>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</si>
  <si>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</si>
  <si>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</si>
  <si>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</si>
  <si>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</si>
  <si>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</si>
  <si>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</si>
  <si>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</si>
  <si>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</si>
  <si>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</si>
  <si>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</si>
  <si>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</si>
  <si>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</si>
  <si>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</si>
  <si>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</si>
  <si>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</si>
  <si>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</si>
  <si>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</si>
  <si>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</si>
  <si>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</si>
  <si>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</si>
  <si>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</si>
  <si>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</si>
  <si>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</si>
  <si>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</si>
  <si>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</si>
  <si>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</si>
  <si>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</si>
  <si>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</si>
  <si>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</si>
  <si>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</si>
  <si>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</si>
  <si>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</si>
  <si>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</si>
  <si>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</si>
  <si>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</si>
  <si>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</si>
  <si>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</si>
  <si>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</si>
  <si>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</si>
  <si>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</si>
  <si>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</si>
  <si>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</si>
  <si>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</si>
  <si>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</si>
  <si>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</si>
  <si>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</si>
  <si>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</si>
  <si>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</si>
  <si>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</si>
  <si>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</si>
  <si>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</si>
  <si>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</si>
  <si>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</si>
  <si>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</si>
  <si>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</si>
  <si>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</si>
  <si>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</si>
  <si>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</si>
  <si>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</si>
  <si>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</si>
  <si>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</si>
  <si>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</si>
  <si>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</si>
  <si>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</si>
  <si>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</si>
  <si>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</si>
  <si>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</si>
  <si>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</si>
  <si>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</si>
  <si>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</si>
  <si>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</si>
  <si>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</si>
  <si>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</si>
  <si>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</si>
  <si>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</si>
  <si>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</si>
  <si>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</si>
  <si>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</si>
  <si>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</si>
  <si>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</si>
  <si>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</si>
  <si>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</si>
  <si>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</si>
  <si>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</si>
  <si>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</si>
  <si>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</si>
  <si>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</si>
  <si>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</si>
  <si>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</si>
  <si>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</si>
  <si>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</si>
  <si>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</si>
  <si>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</si>
  <si>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</si>
  <si>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</si>
  <si>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</si>
  <si>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</si>
  <si>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</si>
  <si>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</si>
  <si>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</si>
  <si>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</si>
  <si>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</si>
  <si>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</si>
  <si>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</si>
  <si>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</si>
  <si>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</si>
  <si>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</si>
  <si>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</si>
  <si>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</si>
  <si>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</si>
  <si>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</si>
  <si>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</si>
  <si>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</si>
  <si>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</si>
  <si>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</si>
  <si>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</si>
  <si>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</si>
  <si>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</si>
  <si>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</si>
  <si>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</si>
  <si>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</si>
  <si>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</si>
  <si>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</si>
  <si>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</si>
  <si>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</si>
  <si>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</si>
  <si>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</si>
  <si>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</si>
  <si>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</si>
  <si>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</si>
  <si>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</si>
  <si>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</si>
  <si>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</si>
  <si>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</si>
  <si>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</si>
  <si>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</si>
  <si>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</si>
  <si>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</si>
  <si>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</si>
  <si>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</si>
  <si>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</si>
  <si>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</si>
  <si>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</si>
  <si>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</si>
  <si>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</si>
  <si>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</si>
  <si>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</si>
  <si>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</si>
  <si>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</si>
  <si>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</si>
  <si>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</si>
  <si>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</si>
  <si>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</si>
  <si>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</si>
  <si>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</si>
  <si>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</si>
  <si>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</si>
  <si>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</si>
  <si>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</si>
  <si>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</si>
  <si>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</si>
  <si>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</si>
  <si>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</si>
  <si>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</si>
  <si>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</si>
  <si>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</si>
  <si>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</si>
  <si>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</si>
  <si>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</si>
  <si>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</si>
  <si>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</si>
  <si>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</si>
  <si>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</si>
  <si>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</si>
  <si>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</si>
  <si>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</si>
  <si>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</si>
  <si>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</si>
  <si>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</si>
  <si>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</si>
  <si>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</si>
  <si>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</si>
  <si>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</si>
  <si>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</si>
  <si>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</si>
  <si>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</si>
  <si>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</si>
  <si>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</si>
  <si>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</si>
  <si>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</si>
  <si>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</si>
  <si>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</si>
  <si>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</si>
  <si>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</si>
  <si>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</si>
  <si>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</si>
  <si>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</si>
  <si>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</si>
  <si>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</si>
  <si>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</si>
  <si>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</si>
  <si>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</si>
  <si>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</si>
  <si>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</si>
  <si>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</si>
  <si>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</si>
  <si>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</si>
  <si>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</si>
  <si>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</si>
  <si>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</si>
  <si>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</si>
  <si>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</si>
  <si>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</si>
  <si>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</si>
  <si>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</si>
  <si>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</si>
  <si>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</si>
  <si>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</si>
  <si>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</si>
  <si>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</si>
  <si>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</si>
  <si>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</si>
  <si>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</si>
  <si>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</si>
  <si>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</si>
  <si>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</si>
  <si>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</si>
  <si>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</si>
  <si>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</si>
  <si>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</si>
  <si>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</si>
  <si>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</si>
  <si>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</si>
  <si>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</si>
  <si>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</si>
  <si>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</si>
  <si>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</si>
  <si>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</si>
  <si>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</si>
  <si>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</si>
  <si>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</si>
  <si>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</si>
  <si>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</si>
  <si>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</si>
  <si>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</si>
  <si>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</si>
  <si>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</si>
  <si>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</si>
  <si>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</si>
  <si>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</si>
  <si>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</si>
  <si>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</si>
  <si>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</si>
  <si>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</si>
  <si>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</si>
  <si>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</si>
  <si>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</si>
  <si>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</si>
  <si>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</si>
  <si>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</si>
  <si>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</si>
  <si>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</si>
  <si>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</si>
  <si>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</si>
  <si>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</si>
  <si>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</si>
  <si>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</si>
  <si>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</si>
  <si>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</si>
  <si>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</si>
  <si>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</si>
  <si>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</si>
  <si>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</si>
  <si>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</si>
  <si>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</si>
  <si>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</si>
  <si>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</si>
  <si>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</si>
  <si>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</si>
  <si>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</si>
  <si>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</si>
  <si>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</si>
  <si>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</si>
  <si>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</si>
  <si>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</si>
  <si>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</si>
  <si>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</si>
  <si>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</si>
  <si>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</si>
  <si>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</si>
  <si>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</si>
  <si>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</si>
  <si>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</si>
  <si>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</si>
  <si>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</si>
  <si>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</si>
  <si>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</si>
  <si>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</si>
  <si>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</si>
  <si>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</si>
  <si>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</si>
  <si>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</si>
  <si>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</si>
  <si>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</si>
  <si>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</si>
  <si>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</si>
  <si>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</si>
  <si>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</si>
  <si>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</si>
  <si>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</si>
  <si>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</si>
  <si>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</si>
  <si>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</si>
  <si>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</si>
  <si>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</si>
  <si>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</si>
  <si>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</si>
  <si>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</si>
  <si>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</si>
  <si>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</si>
  <si>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</si>
  <si>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</si>
  <si>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</si>
  <si>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</si>
  <si>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</si>
  <si>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</si>
  <si>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</si>
  <si>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</si>
  <si>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</si>
  <si>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</si>
  <si>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</si>
  <si>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</si>
  <si>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</si>
  <si>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</si>
  <si>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</si>
  <si>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</si>
  <si>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</si>
  <si>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</si>
  <si>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</si>
  <si>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</si>
  <si>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</si>
  <si>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</si>
  <si>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</si>
  <si>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</si>
  <si>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</si>
  <si>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</si>
  <si>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</si>
  <si>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</si>
  <si>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</si>
  <si>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</si>
  <si>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</si>
  <si>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</si>
  <si>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</si>
  <si>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</si>
  <si>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</si>
  <si>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</si>
  <si>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</si>
  <si>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</si>
  <si>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</si>
  <si>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</si>
  <si>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</si>
  <si>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</si>
  <si>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</si>
  <si>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</si>
  <si>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</si>
  <si>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</si>
  <si>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</si>
  <si>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</si>
  <si>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</si>
  <si>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</si>
  <si>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</si>
  <si>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</si>
  <si>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</si>
  <si>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</si>
  <si>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</si>
  <si>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</si>
  <si>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</si>
  <si>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</si>
  <si>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</si>
  <si>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</si>
  <si>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</si>
  <si>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</si>
  <si>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</si>
  <si>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</si>
  <si>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</si>
  <si>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</si>
  <si>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</si>
  <si>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</si>
  <si>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</si>
  <si>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</si>
  <si>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</si>
  <si>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</si>
  <si>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</si>
  <si>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</si>
  <si>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</si>
  <si>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</si>
  <si>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</si>
  <si>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</si>
  <si>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</si>
  <si>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</si>
  <si>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</si>
  <si>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</si>
  <si>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</si>
  <si>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</si>
  <si>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</si>
  <si>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</si>
  <si>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</si>
  <si>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</si>
  <si>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</si>
  <si>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</si>
  <si>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</si>
  <si>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</si>
  <si>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</si>
  <si>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</si>
  <si>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</si>
  <si>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</si>
  <si>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</si>
  <si>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</si>
  <si>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</si>
  <si>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</si>
  <si>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</si>
  <si>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</si>
  <si>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</si>
  <si>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</si>
  <si>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</si>
  <si>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</si>
  <si>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</si>
  <si>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</si>
  <si>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</si>
  <si>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</si>
  <si>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</si>
  <si>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</si>
  <si>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</si>
  <si>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</si>
  <si>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</si>
  <si>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</si>
  <si>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</si>
  <si>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</si>
  <si>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</si>
  <si>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</si>
  <si>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</si>
  <si>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</si>
  <si>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</si>
  <si>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</si>
  <si>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</si>
  <si>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</si>
  <si>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</si>
  <si>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</si>
  <si>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</si>
  <si>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</si>
  <si>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</si>
  <si>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</si>
  <si>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</si>
  <si>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</si>
  <si>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</si>
  <si>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</si>
  <si>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</si>
  <si>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</si>
  <si>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</si>
  <si>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</si>
  <si>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</si>
  <si>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</si>
  <si>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</si>
  <si>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</si>
  <si>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</si>
  <si>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</si>
  <si>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</si>
  <si>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</si>
  <si>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</si>
  <si>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</si>
  <si>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</si>
  <si>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</si>
  <si>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</si>
  <si>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</si>
  <si>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</si>
  <si>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</si>
  <si>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</si>
  <si>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</si>
  <si>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</si>
  <si>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</si>
  <si>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</si>
  <si>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</si>
  <si>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</si>
  <si>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</si>
  <si>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</si>
  <si>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</si>
  <si>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</si>
  <si>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</si>
  <si>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</si>
  <si>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</si>
  <si>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</si>
  <si>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</si>
  <si>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</si>
  <si>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</si>
  <si>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</si>
  <si>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</si>
  <si>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</si>
  <si>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</si>
  <si>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</si>
  <si>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</si>
  <si>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</si>
  <si>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</si>
  <si>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</si>
  <si>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</si>
  <si>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</si>
  <si>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</si>
  <si>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</si>
  <si>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</si>
  <si>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</si>
  <si>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</si>
  <si>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</si>
  <si>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</si>
  <si>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</si>
  <si>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</si>
  <si>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</si>
  <si>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</si>
  <si>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</si>
  <si>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</si>
  <si>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</si>
  <si>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</si>
  <si>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</si>
  <si>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</si>
  <si>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</si>
  <si>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</si>
  <si>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</si>
  <si>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</si>
  <si>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</si>
  <si>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</si>
  <si>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</si>
  <si>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</si>
  <si>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</si>
  <si>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</si>
  <si>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</si>
  <si>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</si>
  <si>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</si>
  <si>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</si>
  <si>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</si>
  <si>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</si>
  <si>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</si>
  <si>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</si>
  <si>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</si>
  <si>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</si>
  <si>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</si>
  <si>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</si>
  <si>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</si>
  <si>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</si>
  <si>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</si>
  <si>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</si>
  <si>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</si>
  <si>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</si>
  <si>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</si>
  <si>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</si>
  <si>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</si>
  <si>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</si>
  <si>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</si>
  <si>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</si>
  <si>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</si>
  <si>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</si>
  <si>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</si>
  <si>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</si>
  <si>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</si>
  <si>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</si>
  <si>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</si>
  <si>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</si>
  <si>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</si>
  <si>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</si>
  <si>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</si>
  <si>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</si>
  <si>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</si>
  <si>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</si>
  <si>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</si>
  <si>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</si>
  <si>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</si>
  <si>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</si>
  <si>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</si>
  <si>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</si>
  <si>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</si>
  <si>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</si>
  <si>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</si>
  <si>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</si>
  <si>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</si>
  <si>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</si>
  <si>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</si>
  <si>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</si>
  <si>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</si>
  <si>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</si>
  <si>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</si>
  <si>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</si>
  <si>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</si>
  <si>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</si>
  <si>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</si>
  <si>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</si>
  <si>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</si>
  <si>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</si>
  <si>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</si>
  <si>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</si>
  <si>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</si>
  <si>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</si>
  <si>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</si>
  <si>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</si>
  <si>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</si>
  <si>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</si>
  <si>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</si>
  <si>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</si>
  <si>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</si>
  <si>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</si>
  <si>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</si>
  <si>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</si>
  <si>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</si>
  <si>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</si>
  <si>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</si>
  <si>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</si>
  <si>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</si>
  <si>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</si>
  <si>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</si>
  <si>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</si>
  <si>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</si>
  <si>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</si>
  <si>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</si>
  <si>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</si>
  <si>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</si>
  <si>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</si>
  <si>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</si>
  <si>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</si>
  <si>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</si>
  <si>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</si>
  <si>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</si>
  <si>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</si>
  <si>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</si>
  <si>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</si>
  <si>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</si>
  <si>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</si>
  <si>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</si>
  <si>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</si>
  <si>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</si>
  <si>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</si>
  <si>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</si>
  <si>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</si>
  <si>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</si>
  <si>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</si>
  <si>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</si>
  <si>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</si>
  <si>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</si>
  <si>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</si>
  <si>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</si>
  <si>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</si>
  <si>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</si>
  <si>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</si>
  <si>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</si>
  <si>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</si>
  <si>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</si>
  <si>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</si>
  <si>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</si>
  <si>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</si>
  <si>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</si>
  <si>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</si>
  <si>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</si>
  <si>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</si>
  <si>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</si>
  <si>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</si>
  <si>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</si>
  <si>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</si>
  <si>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</si>
  <si>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</si>
  <si>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</si>
  <si>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</si>
  <si>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</si>
  <si>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</si>
  <si>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</si>
  <si>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</si>
  <si>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</si>
  <si>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</si>
  <si>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</si>
  <si>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</si>
  <si>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</si>
  <si>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</si>
  <si>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</si>
  <si>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</si>
  <si>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</si>
  <si>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</si>
  <si>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</si>
  <si>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</si>
  <si>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</si>
  <si>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</si>
  <si>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</si>
  <si>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</si>
  <si>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</si>
  <si>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</si>
  <si>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</si>
  <si>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</si>
  <si>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</si>
  <si>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</si>
  <si>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</si>
  <si>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</si>
  <si>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</si>
  <si>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</si>
  <si>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</si>
  <si>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</si>
  <si>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</si>
  <si>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</si>
  <si>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</si>
  <si>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</si>
  <si>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</si>
  <si>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</si>
  <si>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</si>
  <si>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</si>
  <si>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</si>
  <si>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</si>
  <si>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</si>
  <si>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</si>
  <si>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</si>
  <si>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</si>
  <si>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</si>
  <si>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</si>
  <si>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</si>
  <si>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</si>
  <si>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</si>
  <si>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</si>
  <si>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</si>
  <si>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</si>
  <si>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</si>
  <si>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</si>
  <si>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</si>
  <si>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</si>
  <si>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</si>
  <si>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</si>
  <si>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</si>
  <si>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</si>
  <si>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</si>
  <si>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</si>
  <si>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</si>
  <si>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</si>
  <si>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</si>
  <si>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</si>
  <si>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</si>
  <si>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</si>
  <si>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</si>
  <si>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</si>
  <si>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</si>
  <si>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</si>
  <si>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</si>
  <si>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</si>
  <si>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</si>
  <si>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</si>
  <si>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</si>
  <si>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</si>
  <si>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</si>
  <si>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</si>
  <si>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</si>
  <si>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</si>
  <si>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</si>
  <si>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</si>
  <si>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</si>
  <si>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</si>
  <si>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</si>
  <si>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</si>
  <si>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</si>
  <si>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</si>
  <si>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</si>
  <si>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</si>
  <si>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</si>
  <si>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</si>
  <si>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</si>
  <si>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</si>
  <si>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</si>
  <si>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</si>
  <si>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</si>
  <si>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</si>
  <si>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</si>
  <si>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</si>
  <si>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</si>
  <si>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</si>
  <si>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</si>
  <si>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</si>
  <si>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</si>
  <si>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</si>
  <si>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</si>
  <si>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</si>
  <si>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</si>
  <si>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</si>
  <si>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</si>
  <si>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</si>
  <si>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</si>
  <si>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</si>
  <si>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</si>
  <si>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</si>
  <si>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</si>
  <si>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</si>
  <si>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</si>
  <si>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</si>
  <si>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</si>
  <si>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</si>
  <si>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</si>
  <si>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</si>
  <si>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</si>
  <si>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</si>
  <si>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</si>
  <si>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</si>
  <si>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</si>
  <si>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</si>
  <si>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</si>
  <si>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</si>
  <si>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</si>
  <si>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</si>
  <si>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</si>
  <si>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</si>
  <si>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</si>
  <si>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</si>
  <si>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</si>
  <si>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</si>
  <si>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</si>
  <si>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</si>
  <si>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</si>
  <si>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</si>
  <si>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</si>
  <si>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</si>
  <si>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</si>
  <si>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</si>
  <si>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</si>
  <si>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</si>
  <si>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</si>
  <si>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</si>
  <si>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</si>
  <si>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</si>
  <si>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</si>
  <si>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</si>
  <si>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</si>
  <si>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</si>
  <si>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</si>
  <si>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</si>
  <si>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</si>
  <si>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</si>
  <si>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</si>
  <si>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</si>
  <si>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</si>
  <si>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</si>
  <si>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</si>
  <si>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</si>
  <si>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</si>
  <si>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</si>
  <si>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</si>
  <si>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</si>
  <si>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</si>
  <si>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</si>
  <si>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</si>
  <si>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</si>
  <si>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</si>
  <si>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</si>
  <si>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</si>
  <si>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</si>
  <si>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</si>
  <si>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</si>
  <si>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</si>
  <si>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</si>
  <si>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</si>
  <si>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</si>
  <si>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</si>
  <si>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</si>
  <si>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</si>
  <si>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</si>
  <si>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</si>
  <si>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</si>
  <si>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</si>
  <si>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</si>
  <si>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</si>
  <si>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</si>
  <si>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</si>
  <si>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</si>
  <si>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</si>
  <si>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</si>
  <si>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</si>
  <si>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</si>
  <si>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</si>
  <si>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</si>
  <si>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</si>
  <si>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</si>
  <si>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</si>
  <si>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</si>
  <si>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</si>
  <si>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</si>
  <si>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</si>
  <si>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</si>
  <si>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</si>
  <si>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</si>
  <si>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</si>
  <si>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</si>
  <si>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</si>
  <si>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</si>
  <si>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</si>
  <si>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</si>
  <si>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</si>
  <si>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</si>
  <si>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</si>
  <si>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</si>
  <si>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</si>
  <si>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</si>
  <si>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</si>
  <si>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</si>
  <si>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</si>
  <si>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</si>
  <si>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</si>
  <si>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</si>
  <si>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</si>
  <si>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</si>
  <si>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</si>
  <si>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</si>
  <si>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</si>
  <si>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</si>
  <si>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</si>
  <si>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</si>
  <si>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</si>
  <si>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</si>
  <si>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</si>
  <si>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</si>
  <si>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</si>
  <si>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</si>
  <si>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</si>
  <si>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</si>
  <si>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</si>
  <si>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</si>
  <si>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</si>
  <si>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</si>
  <si>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</si>
  <si>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</si>
  <si>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</si>
  <si>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</si>
  <si>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</si>
  <si>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</si>
  <si>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</si>
  <si>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</si>
  <si>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</si>
  <si>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</si>
  <si>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</si>
  <si>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</si>
  <si>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</si>
  <si>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</si>
  <si>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</si>
  <si>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A</t>
  </si>
  <si>
    <t>VANESSA GARCIA</t>
  </si>
  <si>
    <t>JUAN NELSON</t>
  </si>
  <si>
    <t>AMANDA SPENCER</t>
  </si>
  <si>
    <t>LYNN CURTIS DDS</t>
  </si>
  <si>
    <t>LISA JOHNSON</t>
  </si>
  <si>
    <t>ERIC MYERS</t>
  </si>
  <si>
    <t>RICKY GRAHAM</t>
  </si>
  <si>
    <t>SEAN MARTIN</t>
  </si>
  <si>
    <t>MATTHEW LLOYD</t>
  </si>
  <si>
    <t>GAVIN RANDALL</t>
  </si>
  <si>
    <t>MICHELLE CURTIS</t>
  </si>
  <si>
    <t>ALICE SCHNEIDER</t>
  </si>
  <si>
    <t>PHILLIP SHELTON</t>
  </si>
  <si>
    <t>EDWARD FERGUSON</t>
  </si>
  <si>
    <t>WYATT STOUT</t>
  </si>
  <si>
    <t>LAURA JOHNSON</t>
  </si>
  <si>
    <t>SCOTT BURNS</t>
  </si>
  <si>
    <t>TYLER AGUIRRE</t>
  </si>
  <si>
    <t>MATTHEW LAWSON</t>
  </si>
  <si>
    <t>JAMES CHERRY</t>
  </si>
  <si>
    <t>SAMUEL SANFORD</t>
  </si>
  <si>
    <t>CESAR GREENE</t>
  </si>
  <si>
    <t>MELANIE CARTER</t>
  </si>
  <si>
    <t>JENNIFER MARTIN</t>
  </si>
  <si>
    <t>ANNA MCCANN</t>
  </si>
  <si>
    <t>MARISSA BASS</t>
  </si>
  <si>
    <t>ALEXIS DAY</t>
  </si>
  <si>
    <t>MEGAN JONES</t>
  </si>
  <si>
    <t>LORI SMITH</t>
  </si>
  <si>
    <t>ERIC CARPENTER</t>
  </si>
  <si>
    <t>TIMOTHY DANIELS</t>
  </si>
  <si>
    <t>ROBERT NELSON</t>
  </si>
  <si>
    <t>MICHAEL ANDERSON</t>
  </si>
  <si>
    <t>JESSICA SNYDER</t>
  </si>
  <si>
    <t>EMILY DANIELS</t>
  </si>
  <si>
    <t>JAMIE RAMIREZ</t>
  </si>
  <si>
    <t>AMY HARRISON</t>
  </si>
  <si>
    <t>MELINDA WHITE</t>
  </si>
  <si>
    <t>JAMES HERNANDEZ</t>
  </si>
  <si>
    <t>ANGELICA ROGERS</t>
  </si>
  <si>
    <t>SAVANNAH WILLIAMS</t>
  </si>
  <si>
    <t>KAITLYN SCHMIDT</t>
  </si>
  <si>
    <t>JASON SINGH</t>
  </si>
  <si>
    <t>MICHELLE RAMIREZ</t>
  </si>
  <si>
    <t>JAMES BROWN</t>
  </si>
  <si>
    <t>MRS. SAMANTHA SIMMONS</t>
  </si>
  <si>
    <t>CHASE MASON</t>
  </si>
  <si>
    <t>DOMINIQUE WARD</t>
  </si>
  <si>
    <t>LANCE GRIFFIN</t>
  </si>
  <si>
    <t>JULIE BURGESS</t>
  </si>
  <si>
    <t>DON SCOTT</t>
  </si>
  <si>
    <t>KYLE ATKINSON</t>
  </si>
  <si>
    <t>JIMMY HOGAN</t>
  </si>
  <si>
    <t>JENNIFER MCINTYRE</t>
  </si>
  <si>
    <t>LARRY SIMPSON</t>
  </si>
  <si>
    <t>LAURA PRICE</t>
  </si>
  <si>
    <t>MARK WRIGHT</t>
  </si>
  <si>
    <t>SAMANTHA MCDANIEL</t>
  </si>
  <si>
    <t>BARBARA FOSTER</t>
  </si>
  <si>
    <t>COURTNEY TRAN</t>
  </si>
  <si>
    <t>EDDIE TODD</t>
  </si>
  <si>
    <t>CHRISTINE JOHNSON</t>
  </si>
  <si>
    <t>LEAH PHELPS</t>
  </si>
  <si>
    <t>REBEKAH WILLIAMS</t>
  </si>
  <si>
    <t>CRYSTAL WILSON</t>
  </si>
  <si>
    <t>ASHLEY CORDOVA</t>
  </si>
  <si>
    <t>VICKI KELLY</t>
  </si>
  <si>
    <t>COREY WARREN</t>
  </si>
  <si>
    <t>GINA THOMPSON</t>
  </si>
  <si>
    <t>YVONNE BERG</t>
  </si>
  <si>
    <t>THOMAS MILLER</t>
  </si>
  <si>
    <t>NICHOLAS BURTON</t>
  </si>
  <si>
    <t>JORGE RILEY</t>
  </si>
  <si>
    <t>MELVIN HARRIS</t>
  </si>
  <si>
    <t>JEREMY MEYER</t>
  </si>
  <si>
    <t>TIMOTHY LEE</t>
  </si>
  <si>
    <t>DIANA BAUTISTA</t>
  </si>
  <si>
    <t>LESLIE RODRIGUEZ</t>
  </si>
  <si>
    <t>NOAH WIGGINS</t>
  </si>
  <si>
    <t>BRIDGET WILLIAMS</t>
  </si>
  <si>
    <t>VERONICA BAKER</t>
  </si>
  <si>
    <t>ANDREW AVILA</t>
  </si>
  <si>
    <t>MICHAEL ROBERSON</t>
  </si>
  <si>
    <t>AUSTIN JENKINS</t>
  </si>
  <si>
    <t>BRENDA GREEN</t>
  </si>
  <si>
    <t>SAMUEL PIERCE</t>
  </si>
  <si>
    <t>BRIANA SMITH</t>
  </si>
  <si>
    <t>RONALD BARRETT</t>
  </si>
  <si>
    <t>MATTHEW SMITH</t>
  </si>
  <si>
    <t>LOGAN HUANG</t>
  </si>
  <si>
    <t>MIRANDA HUTCHINSON</t>
  </si>
  <si>
    <t>PAUL RICHARDSON</t>
  </si>
  <si>
    <t>JOSE JONES</t>
  </si>
  <si>
    <t>DENISE SMITH</t>
  </si>
  <si>
    <t>SHELBY MCMAHON</t>
  </si>
  <si>
    <t>BETHANY WRIGHT</t>
  </si>
  <si>
    <t>DAVID ORTIZ</t>
  </si>
  <si>
    <t>ANDREW LYNCH</t>
  </si>
  <si>
    <t>KRISTOPHER MEYERS</t>
  </si>
  <si>
    <t>THOMAS ROTH</t>
  </si>
  <si>
    <t>VICKI BROWN</t>
  </si>
  <si>
    <t>STACY SUTTON</t>
  </si>
  <si>
    <t>KIMBERLY HOLLAND</t>
  </si>
  <si>
    <t>TRAVIS RICHARDSON</t>
  </si>
  <si>
    <t>JASMIN HO</t>
  </si>
  <si>
    <t>MARK PAUL</t>
  </si>
  <si>
    <t>JENNIFER LEWIS</t>
  </si>
  <si>
    <t>ELIZABETH LESTER</t>
  </si>
  <si>
    <t>KIMBERLY GRIFFIN</t>
  </si>
  <si>
    <t>TYLER WARNER</t>
  </si>
  <si>
    <t>JANE COX</t>
  </si>
  <si>
    <t>LEAH WILLIAMS</t>
  </si>
  <si>
    <t>KEVIN WONG</t>
  </si>
  <si>
    <t>ROBERT ANDREWS</t>
  </si>
  <si>
    <t>JESSICA TORRES</t>
  </si>
  <si>
    <t>TERESA KIM</t>
  </si>
  <si>
    <t>JON MORGAN</t>
  </si>
  <si>
    <t>GLORIA CHANEY</t>
  </si>
  <si>
    <t>JESSE CAMPBELL</t>
  </si>
  <si>
    <t>ALLISON TUCKER MD</t>
  </si>
  <si>
    <t>CANDICE PETERSEN</t>
  </si>
  <si>
    <t>CHRISTOPHER NICHOLS</t>
  </si>
  <si>
    <t>DEBRA GARCIA</t>
  </si>
  <si>
    <t>ANDREW FUENTES</t>
  </si>
  <si>
    <t>JASON CARTER</t>
  </si>
  <si>
    <t>AUSTIN ROMERO</t>
  </si>
  <si>
    <t>CLAYTON BURNS</t>
  </si>
  <si>
    <t>JONATHAN CLARK</t>
  </si>
  <si>
    <t>ALEXANDER GRIFFIN</t>
  </si>
  <si>
    <t>SHELLY WHITEHEAD</t>
  </si>
  <si>
    <t>KAITLYN DAVIS</t>
  </si>
  <si>
    <t>CHRISTOPHER JONES</t>
  </si>
  <si>
    <t>CINDY JACOBS</t>
  </si>
  <si>
    <t>PENNY DAY</t>
  </si>
  <si>
    <t>THOMAS INGRAM</t>
  </si>
  <si>
    <t>DONNA HANSEN</t>
  </si>
  <si>
    <t>DONNA BAILEY</t>
  </si>
  <si>
    <t>JOSHUA ARMSTRONG</t>
  </si>
  <si>
    <t>JONATHAN GARZA</t>
  </si>
  <si>
    <t>CHARLES JONES</t>
  </si>
  <si>
    <t>LINDSEY MILES</t>
  </si>
  <si>
    <t>EDUARDO REED</t>
  </si>
  <si>
    <t>LEE FOWLER</t>
  </si>
  <si>
    <t>STEVEN JONES JR.</t>
  </si>
  <si>
    <t>ASHLEY CHEN</t>
  </si>
  <si>
    <t>ERICA DAVIS</t>
  </si>
  <si>
    <t>WAYNE GONZALES</t>
  </si>
  <si>
    <t>GARY BALLARD</t>
  </si>
  <si>
    <t>MARIA MCGUIRE</t>
  </si>
  <si>
    <t>MATTHEW RICHARDS</t>
  </si>
  <si>
    <t>PATRICK MALONE</t>
  </si>
  <si>
    <t>CINDY MARTIN</t>
  </si>
  <si>
    <t>ANNE EDWARDS</t>
  </si>
  <si>
    <t>MITCHELL MARTIN</t>
  </si>
  <si>
    <t>MITCHELL PATRICK</t>
  </si>
  <si>
    <t>REBECCA LYONS</t>
  </si>
  <si>
    <t>CHRISTIAN LOPEZ</t>
  </si>
  <si>
    <t>NATHAN BLAIR</t>
  </si>
  <si>
    <t>PATRICIA LOPEZ</t>
  </si>
  <si>
    <t>MICHELLE WU</t>
  </si>
  <si>
    <t>DONALD MITCHELL</t>
  </si>
  <si>
    <t>SEAN GORDON</t>
  </si>
  <si>
    <t>GREGORY CLARKE</t>
  </si>
  <si>
    <t>STEVEN WHITNEY</t>
  </si>
  <si>
    <t>ROBIN ACOSTA</t>
  </si>
  <si>
    <t>JOHN SMITH</t>
  </si>
  <si>
    <t>SUSAN BAKER</t>
  </si>
  <si>
    <t>ANTHONY LARSEN</t>
  </si>
  <si>
    <t>NICHOLAS CARPENTER</t>
  </si>
  <si>
    <t>DEBRA SALAZAR</t>
  </si>
  <si>
    <t>WILLIAM SMITH</t>
  </si>
  <si>
    <t>CAROLINE GROSS</t>
  </si>
  <si>
    <t>JEREMY SAWYER</t>
  </si>
  <si>
    <t>EDUARDO BURNS</t>
  </si>
  <si>
    <t>AMANDA JONES</t>
  </si>
  <si>
    <t>FREDERICK WARE</t>
  </si>
  <si>
    <t>MICHAEL BLACK</t>
  </si>
  <si>
    <t>PATRICIA SANDERS</t>
  </si>
  <si>
    <t>MARC JOSEPH</t>
  </si>
  <si>
    <t>VANESSA WHITE</t>
  </si>
  <si>
    <t>JENNIFER GARCIA</t>
  </si>
  <si>
    <t>MICHAEL ZAVALA</t>
  </si>
  <si>
    <t>KIMBERLY WILLIAMS</t>
  </si>
  <si>
    <t>ELIZABETH JENKINS</t>
  </si>
  <si>
    <t>BRANDON FORD</t>
  </si>
  <si>
    <t>JUSTIN HOUSE</t>
  </si>
  <si>
    <t>HENRY MULLEN</t>
  </si>
  <si>
    <t>JESSE COCHRAN</t>
  </si>
  <si>
    <t>MELISSA RICH</t>
  </si>
  <si>
    <t>PATRICK DUNLAP</t>
  </si>
  <si>
    <t>TROY CARSON</t>
  </si>
  <si>
    <t>JENNIFER CHERRY</t>
  </si>
  <si>
    <t>BRANDI TUCKER</t>
  </si>
  <si>
    <t>ZACHARY BURKE</t>
  </si>
  <si>
    <t>THOMAS JONES</t>
  </si>
  <si>
    <t>BRIAN DUNN</t>
  </si>
  <si>
    <t>SHIRLEY STRICKLAND</t>
  </si>
  <si>
    <t>NICOLE MEYERS</t>
  </si>
  <si>
    <t>JILL STEPHENS</t>
  </si>
  <si>
    <t>HEIDI MIRANDA</t>
  </si>
  <si>
    <t>JESUS MARTINEZ</t>
  </si>
  <si>
    <t>ADAM PAYNE</t>
  </si>
  <si>
    <t>WALTER WILLIAMS</t>
  </si>
  <si>
    <t>SHANNON FARMER</t>
  </si>
  <si>
    <t>PETER REYES</t>
  </si>
  <si>
    <t>KRISTEN KNIGHT</t>
  </si>
  <si>
    <t>WILLIAM MOORE JR.</t>
  </si>
  <si>
    <t>JENNIFER ROWE</t>
  </si>
  <si>
    <t>MIKAYLA HENRY</t>
  </si>
  <si>
    <t>JACOB KERR</t>
  </si>
  <si>
    <t>RYAN JOHNSON</t>
  </si>
  <si>
    <t>MICHAEL RUIZ</t>
  </si>
  <si>
    <t>MONICA ROBERTS</t>
  </si>
  <si>
    <t>DANNY BROWN</t>
  </si>
  <si>
    <t>KAREN LARSEN</t>
  </si>
  <si>
    <t>ROBERT EVANS</t>
  </si>
  <si>
    <t>SEAN POOLE</t>
  </si>
  <si>
    <t>RICHARD QUINN</t>
  </si>
  <si>
    <t>JENNIFER GONZALEZ</t>
  </si>
  <si>
    <t>JAMES SKINNER</t>
  </si>
  <si>
    <t>MICHELLE HILL</t>
  </si>
  <si>
    <t>JACQUELINE WILLIAMS</t>
  </si>
  <si>
    <t>DARRELL JOHNSON</t>
  </si>
  <si>
    <t>RYAN CRAWFORD</t>
  </si>
  <si>
    <t>CHELSEA BARBER</t>
  </si>
  <si>
    <t>ELAINE MARTINEZ</t>
  </si>
  <si>
    <t>JOSEPH KENT</t>
  </si>
  <si>
    <t>MEGAN WELCH</t>
  </si>
  <si>
    <t>STEPHEN RAMIREZ</t>
  </si>
  <si>
    <t>CHLOE GRAY</t>
  </si>
  <si>
    <t>MICHAEL WILLIAMS JR.</t>
  </si>
  <si>
    <t>MATTHEW MARTIN</t>
  </si>
  <si>
    <t>JULIA MURPHY</t>
  </si>
  <si>
    <t>ANNA EVANS</t>
  </si>
  <si>
    <t>BRENDA FLEMING</t>
  </si>
  <si>
    <t>DANIEL HARRINGTON</t>
  </si>
  <si>
    <t>DANIEL BARNETT</t>
  </si>
  <si>
    <t>MARK CUMMINGS</t>
  </si>
  <si>
    <t>CHRISTOPHER GUERRA</t>
  </si>
  <si>
    <t>SARAH HO</t>
  </si>
  <si>
    <t>VERONICA THOMAS</t>
  </si>
  <si>
    <t>MITCHELL WATSON</t>
  </si>
  <si>
    <t>MONICA MURPHY</t>
  </si>
  <si>
    <t>KRISTEN WILLIAMS</t>
  </si>
  <si>
    <t>NICOLE WRIGHT</t>
  </si>
  <si>
    <t>ANDREW RUIZ</t>
  </si>
  <si>
    <t>ZACHARY JACKSON</t>
  </si>
  <si>
    <t>STEPHANIE CARTER</t>
  </si>
  <si>
    <t>AMY OLSON</t>
  </si>
  <si>
    <t>FRED STARK</t>
  </si>
  <si>
    <t>JACOB GILL</t>
  </si>
  <si>
    <t>ANTHONY NICHOLS</t>
  </si>
  <si>
    <t>WILLIAM KNAPP</t>
  </si>
  <si>
    <t>ELIZABETH WALKER</t>
  </si>
  <si>
    <t>BRENDA REEVES</t>
  </si>
  <si>
    <t>CARRIE LITTLE</t>
  </si>
  <si>
    <t>STEVEN JACKSON</t>
  </si>
  <si>
    <t>MARK PERRY</t>
  </si>
  <si>
    <t>CAMERON SPENCER</t>
  </si>
  <si>
    <t>JENNIFER HOLMES</t>
  </si>
  <si>
    <t>JACOB JOSEPH</t>
  </si>
  <si>
    <t>JEFFERY TUCKER</t>
  </si>
  <si>
    <t>JACQUELINE DRAKE</t>
  </si>
  <si>
    <t>BRIAN BAUTISTA</t>
  </si>
  <si>
    <t>DAKOTA WELLS</t>
  </si>
  <si>
    <t>JULIE WHITE</t>
  </si>
  <si>
    <t>BARBARA KEITH</t>
  </si>
  <si>
    <t>HEATHER CAMACHO</t>
  </si>
  <si>
    <t>MELANIE HARRIS</t>
  </si>
  <si>
    <t>JACQUELINE PETERSON</t>
  </si>
  <si>
    <t>NANCY LONG</t>
  </si>
  <si>
    <t>MR. JUAN MITCHELL</t>
  </si>
  <si>
    <t>WILLIAM GAINES</t>
  </si>
  <si>
    <t>HALEY YATES</t>
  </si>
  <si>
    <t>RICHARD MCGUIRE</t>
  </si>
  <si>
    <t>STEPHANIE FISHER</t>
  </si>
  <si>
    <t>ANTHONY GOODWIN DDS</t>
  </si>
  <si>
    <t>MEAGAN WALTERS</t>
  </si>
  <si>
    <t>DAVID POWELL</t>
  </si>
  <si>
    <t>KELLY JONES</t>
  </si>
  <si>
    <t>DR. MICHAEL AGUILAR</t>
  </si>
  <si>
    <t>ALEX NOVAK</t>
  </si>
  <si>
    <t>ANN CONTRERAS</t>
  </si>
  <si>
    <t>MARY REED</t>
  </si>
  <si>
    <t>LAUREN ROSS</t>
  </si>
  <si>
    <t>CANDICE WISE</t>
  </si>
  <si>
    <t>JOYCE HUMPHREY</t>
  </si>
  <si>
    <t>JAMES CARR</t>
  </si>
  <si>
    <t>JOSEPH MENDOZA</t>
  </si>
  <si>
    <t>CATHY BALDWIN</t>
  </si>
  <si>
    <t>CHRISTINE HART</t>
  </si>
  <si>
    <t>MIKE STANLEY</t>
  </si>
  <si>
    <t>JEFFREY EDWARDS</t>
  </si>
  <si>
    <t>AMY LEE</t>
  </si>
  <si>
    <t>MARK THOMPSON</t>
  </si>
  <si>
    <t>ALEX WILSON</t>
  </si>
  <si>
    <t>NANCY MENDEZ</t>
  </si>
  <si>
    <t>BETH CRANE</t>
  </si>
  <si>
    <t>MIGUEL ROGERS</t>
  </si>
  <si>
    <t>THOMAS ROBLES</t>
  </si>
  <si>
    <t>JOEL BROWN III</t>
  </si>
  <si>
    <t>OLIVIA SCHULTZ</t>
  </si>
  <si>
    <t>CLAYTON PENA</t>
  </si>
  <si>
    <t>ASHLEY SALAZAR</t>
  </si>
  <si>
    <t>ROBERT LUCAS</t>
  </si>
  <si>
    <t>DAVID COX</t>
  </si>
  <si>
    <t>CHRISTIAN CAMPBELL</t>
  </si>
  <si>
    <t>MRS. ANGELA WARD</t>
  </si>
  <si>
    <t>LUCAS CHEN</t>
  </si>
  <si>
    <t>RUBEN NELSON</t>
  </si>
  <si>
    <t>BRENDA BRIGGS</t>
  </si>
  <si>
    <t>RONALD SMITH</t>
  </si>
  <si>
    <t>DAKOTA GILES</t>
  </si>
  <si>
    <t>ANGELA CASTILLO</t>
  </si>
  <si>
    <t>ALLEN LEE</t>
  </si>
  <si>
    <t>MICHAEL ROGERS</t>
  </si>
  <si>
    <t>DANIELLE COSTA</t>
  </si>
  <si>
    <t>WILLIAM NUNEZ</t>
  </si>
  <si>
    <t>CHRISTOPHER RIGGS</t>
  </si>
  <si>
    <t>KATHRYN MYERS</t>
  </si>
  <si>
    <t>ROBERT WALLS</t>
  </si>
  <si>
    <t>JUSTIN JOHNSON</t>
  </si>
  <si>
    <t>PAULA STEVENS</t>
  </si>
  <si>
    <t>JENNIFER ALLEN</t>
  </si>
  <si>
    <t>MARK HUDSON</t>
  </si>
  <si>
    <t>JESSICA SMITH</t>
  </si>
  <si>
    <t>MIKE DEAN</t>
  </si>
  <si>
    <t>JOSE WILSON</t>
  </si>
  <si>
    <t>TAMMY HILL</t>
  </si>
  <si>
    <t>NATHANIEL FLORES</t>
  </si>
  <si>
    <t>EDWIN CARTER</t>
  </si>
  <si>
    <t>PATRICIA MILLER</t>
  </si>
  <si>
    <t>REBECCA SCHNEIDER</t>
  </si>
  <si>
    <t>JOHN GREENE</t>
  </si>
  <si>
    <t>BRITTANY MCDOWELL</t>
  </si>
  <si>
    <t>LORI MILLER</t>
  </si>
  <si>
    <t>JOSEPH ROBINSON</t>
  </si>
  <si>
    <t>AARON PRUITT</t>
  </si>
  <si>
    <t>VICTORIA MILLER</t>
  </si>
  <si>
    <t>CLARENCE VEGA</t>
  </si>
  <si>
    <t>DEBORAH DAY</t>
  </si>
  <si>
    <t>NICOLE ROCHA</t>
  </si>
  <si>
    <t>ELIJAH GREEN</t>
  </si>
  <si>
    <t>EMILY JOHNSON</t>
  </si>
  <si>
    <t>RICHARD VELASQUEZ JR.</t>
  </si>
  <si>
    <t>KURT WILSON</t>
  </si>
  <si>
    <t>JEREMIAH RODRIGUEZ</t>
  </si>
  <si>
    <t>LAUREN LANG</t>
  </si>
  <si>
    <t>MATTHEW PHILLIPS</t>
  </si>
  <si>
    <t>MICHAEL ANDERSEN</t>
  </si>
  <si>
    <t>AMANDA MAYO</t>
  </si>
  <si>
    <t>JESSICA VANCE</t>
  </si>
  <si>
    <t>ALEXA GALLEGOS</t>
  </si>
  <si>
    <t>CHARLES PRATT</t>
  </si>
  <si>
    <t>BRIAN BAKER</t>
  </si>
  <si>
    <t>CHRISTINA NORMAN</t>
  </si>
  <si>
    <t>LAURA KELLY</t>
  </si>
  <si>
    <t>JOHN WEBB</t>
  </si>
  <si>
    <t>CHRISTOPHER BURTON</t>
  </si>
  <si>
    <t>BRADLEY AGUILAR</t>
  </si>
  <si>
    <t>ARTHUR VASQUEZ</t>
  </si>
  <si>
    <t>ANGELA CASTRO</t>
  </si>
  <si>
    <t>SUMMER YODER</t>
  </si>
  <si>
    <t>JACKIE ALLEN</t>
  </si>
  <si>
    <t>BRANDON WILLIAMS</t>
  </si>
  <si>
    <t>MANUEL TORRES</t>
  </si>
  <si>
    <t>SCOTT KELLER</t>
  </si>
  <si>
    <t>DEBORAH BROWN</t>
  </si>
  <si>
    <t>JENNIFER LARA</t>
  </si>
  <si>
    <t>JASON SCOTT</t>
  </si>
  <si>
    <t>GREGORY GARRISON</t>
  </si>
  <si>
    <t>CHELSEA ANDERSON</t>
  </si>
  <si>
    <t>GERALD JOHNSON</t>
  </si>
  <si>
    <t>KEVIN ELLIS</t>
  </si>
  <si>
    <t>MITCHELL KELLER</t>
  </si>
  <si>
    <t>MARY BROWN</t>
  </si>
  <si>
    <t>RONALD WALLS</t>
  </si>
  <si>
    <t>ANTHONY AVILA</t>
  </si>
  <si>
    <t>DOUGLAS GOODWIN</t>
  </si>
  <si>
    <t>JAMES MILLS</t>
  </si>
  <si>
    <t>NICOLE MARKS</t>
  </si>
  <si>
    <t>PHYLLIS DAWSON</t>
  </si>
  <si>
    <t>RENEE ARNOLD</t>
  </si>
  <si>
    <t>ERIC ROBINSON</t>
  </si>
  <si>
    <t>PAUL BROWN</t>
  </si>
  <si>
    <t>SARAH PROCTOR</t>
  </si>
  <si>
    <t>MATTHEW HICKS</t>
  </si>
  <si>
    <t>CHRISTOPHER BLACK</t>
  </si>
  <si>
    <t>JOANNE REYES</t>
  </si>
  <si>
    <t>ISAAC GRAY</t>
  </si>
  <si>
    <t>JOSHUA ROBERTS</t>
  </si>
  <si>
    <t>ELIZABETH ESTRADA</t>
  </si>
  <si>
    <t>LORI MALONE</t>
  </si>
  <si>
    <t>ANTHONY HUYNH MD</t>
  </si>
  <si>
    <t>MINDY YORK</t>
  </si>
  <si>
    <t>MS. CHRISTINE CHERRY</t>
  </si>
  <si>
    <t>DANIEL FOSTER</t>
  </si>
  <si>
    <t>MR. DAVID VALENCIA</t>
  </si>
  <si>
    <t>ETHAN ADAMS</t>
  </si>
  <si>
    <t>BRETT MOORE</t>
  </si>
  <si>
    <t>PHILLIP GRIFFIN</t>
  </si>
  <si>
    <t>STACIE WALL</t>
  </si>
  <si>
    <t>JACOB AUSTIN</t>
  </si>
  <si>
    <t>SABRINA DAVIDSON</t>
  </si>
  <si>
    <t>DUSTIN DOUGLAS</t>
  </si>
  <si>
    <t>STEVEN NORRIS</t>
  </si>
  <si>
    <t>MINDY SULLIVAN</t>
  </si>
  <si>
    <t>ELIZABETH STONE</t>
  </si>
  <si>
    <t>DIANE FLORES</t>
  </si>
  <si>
    <t>JESSICA ERICKSON</t>
  </si>
  <si>
    <t>SARA MOSES</t>
  </si>
  <si>
    <t>ALLISON HENDERSON</t>
  </si>
  <si>
    <t>SUSAN DIXON</t>
  </si>
  <si>
    <t>DAVID MORRISON</t>
  </si>
  <si>
    <t>JAMES JACOBS</t>
  </si>
  <si>
    <t>KATHLEEN QUINN</t>
  </si>
  <si>
    <t>NATALIE FRANK MD</t>
  </si>
  <si>
    <t>MICHAEL REED</t>
  </si>
  <si>
    <t>SHEILA SMITH</t>
  </si>
  <si>
    <t>MORGAN FORD</t>
  </si>
  <si>
    <t>LINDA SCHULTZ</t>
  </si>
  <si>
    <t>REGINA DANIEL</t>
  </si>
  <si>
    <t>ALLISON PERKINS</t>
  </si>
  <si>
    <t>BRADLEY WEAVER</t>
  </si>
  <si>
    <t>SARAH HALL</t>
  </si>
  <si>
    <t>DIANA WALTON</t>
  </si>
  <si>
    <t>DONNA DAVIS</t>
  </si>
  <si>
    <t>CHRISTOPHER MCCLAIN</t>
  </si>
  <si>
    <t>DR. PAUL WILLIAMSON</t>
  </si>
  <si>
    <t>BARBARA BROWN</t>
  </si>
  <si>
    <t>KIMBERLY ALLEN</t>
  </si>
  <si>
    <t>ELIZABETH EDWARDS</t>
  </si>
  <si>
    <t>ANTHONY DOWNS</t>
  </si>
  <si>
    <t>JACK ORTEGA</t>
  </si>
  <si>
    <t>MARVIN MOORE</t>
  </si>
  <si>
    <t>TONY FRENCH</t>
  </si>
  <si>
    <t>STACY HUDSON</t>
  </si>
  <si>
    <t>SCOTT WASHINGTON</t>
  </si>
  <si>
    <t>TIMOTHY WRIGHT</t>
  </si>
  <si>
    <t>JOSEPH GONZALEZ</t>
  </si>
  <si>
    <t>ANDREA PEREZ</t>
  </si>
  <si>
    <t>ANGEL COLLINS</t>
  </si>
  <si>
    <t>DANIEL TERRY</t>
  </si>
  <si>
    <t>STEVEN WHITAKER</t>
  </si>
  <si>
    <t>DENISE NEAL</t>
  </si>
  <si>
    <t>AMANDA JACOBS</t>
  </si>
  <si>
    <t>KAREN MERCER</t>
  </si>
  <si>
    <t>LINDSAY HUDSON</t>
  </si>
  <si>
    <t>STEPHANIE ARMSTRONG</t>
  </si>
  <si>
    <t>DR. JESSICA CAMPBELL</t>
  </si>
  <si>
    <t>CURTIS MAXWELL</t>
  </si>
  <si>
    <t>ADAM KELLY PHD</t>
  </si>
  <si>
    <t>JULIE BECKER</t>
  </si>
  <si>
    <t>JAMES MOORE</t>
  </si>
  <si>
    <t>DANIELLE BARRERA</t>
  </si>
  <si>
    <t>DAVID SANCHEZ</t>
  </si>
  <si>
    <t>TIFFANY BOWMAN</t>
  </si>
  <si>
    <t>JESUS QUINN</t>
  </si>
  <si>
    <t>MR. DANNY MORRIS DDS</t>
  </si>
  <si>
    <t>NICOLE YORK</t>
  </si>
  <si>
    <t>JOHN MATHIS</t>
  </si>
  <si>
    <t>JULIE BARNETT</t>
  </si>
  <si>
    <t>JASMINE HARRIS</t>
  </si>
  <si>
    <t>MARY HENRY</t>
  </si>
  <si>
    <t>JUDITH RIGGS</t>
  </si>
  <si>
    <t>JUSTIN RUIZ</t>
  </si>
  <si>
    <t>JENNIFER SULLIVAN</t>
  </si>
  <si>
    <t>JESSE MORAN</t>
  </si>
  <si>
    <t>MONICA SMITH</t>
  </si>
  <si>
    <t>IAN MAY</t>
  </si>
  <si>
    <t>KAYLA MEYERS</t>
  </si>
  <si>
    <t>JOHN BRAY</t>
  </si>
  <si>
    <t>JAMES SMITH</t>
  </si>
  <si>
    <t>MARK DUNCAN</t>
  </si>
  <si>
    <t>MATTHEW GAY</t>
  </si>
  <si>
    <t>CHERYL FREEMAN</t>
  </si>
  <si>
    <t>PATRICK WELCH</t>
  </si>
  <si>
    <t>CRAIG LEVINE</t>
  </si>
  <si>
    <t>RICHARD HARVEY</t>
  </si>
  <si>
    <t>BONNIE SHERMAN</t>
  </si>
  <si>
    <t>KEITH TRUJILLO</t>
  </si>
  <si>
    <t>COREY COMBS</t>
  </si>
  <si>
    <t>ANTONIO KING</t>
  </si>
  <si>
    <t>JENNIFER ROGERS</t>
  </si>
  <si>
    <t>JEFFREY COOPER</t>
  </si>
  <si>
    <t>ALLISON WILLIAMS</t>
  </si>
  <si>
    <t>RAYMOND SHERMAN</t>
  </si>
  <si>
    <t>JENNIFER NELSON</t>
  </si>
  <si>
    <t>JENNIFER CARTER</t>
  </si>
  <si>
    <t>TODD WILLIAMS</t>
  </si>
  <si>
    <t>EMILY HORTON</t>
  </si>
  <si>
    <t>LANCE LESTER</t>
  </si>
  <si>
    <t>KEVIN FLORES</t>
  </si>
  <si>
    <t>AARON STEWART PHD</t>
  </si>
  <si>
    <t>ROBIN MOORE</t>
  </si>
  <si>
    <t>SUZANNE INGRAM</t>
  </si>
  <si>
    <t>JACOB MCLAUGHLIN</t>
  </si>
  <si>
    <t>MICHAEL NUNEZ</t>
  </si>
  <si>
    <t>ISABEL BROWN</t>
  </si>
  <si>
    <t>MICHAEL STEIN</t>
  </si>
  <si>
    <t>ROBERT STONE</t>
  </si>
  <si>
    <t>DILLON HENRY</t>
  </si>
  <si>
    <t>JAMES TODD</t>
  </si>
  <si>
    <t>CLIFFORD MOORE MD</t>
  </si>
  <si>
    <t>JOHN RIOS</t>
  </si>
  <si>
    <t>ANTHONY GAINES</t>
  </si>
  <si>
    <t>KRISTI BROWN DVM</t>
  </si>
  <si>
    <t>ASHLEY ODONNELL</t>
  </si>
  <si>
    <t>RONALD ELLIOTT</t>
  </si>
  <si>
    <t>LORRAINE LOWERY</t>
  </si>
  <si>
    <t>VICTORIA CHAPMAN</t>
  </si>
  <si>
    <t>HEATHER DAVIS</t>
  </si>
  <si>
    <t>DIANA CHASE</t>
  </si>
  <si>
    <t>DANIELLE ADKINS</t>
  </si>
  <si>
    <t>KENNETH ARIAS</t>
  </si>
  <si>
    <t>VICTORIA OWEN</t>
  </si>
  <si>
    <t>CHRISTINA KING</t>
  </si>
  <si>
    <t>SAMANTHA KING</t>
  </si>
  <si>
    <t>SCOTT COMPTON</t>
  </si>
  <si>
    <t>MONICA WEST</t>
  </si>
  <si>
    <t>THERESA STEWART</t>
  </si>
  <si>
    <t>STEVEN KIM</t>
  </si>
  <si>
    <t>KRISTI KNIGHT</t>
  </si>
  <si>
    <t>JASON BRYANT</t>
  </si>
  <si>
    <t>MAUREEN KEITH</t>
  </si>
  <si>
    <t>SHAWN HOGAN</t>
  </si>
  <si>
    <t>WILLIAM DAVIS</t>
  </si>
  <si>
    <t>STACY BAILEY</t>
  </si>
  <si>
    <t>THOMAS DIXON</t>
  </si>
  <si>
    <t>MARIA HALL</t>
  </si>
  <si>
    <t>TONY LEE</t>
  </si>
  <si>
    <t>CATHERINE MCCOY MD</t>
  </si>
  <si>
    <t>MARIA BENITEZ</t>
  </si>
  <si>
    <t>JOSHUA CHAMBERS</t>
  </si>
  <si>
    <t>JANICE DANIELS</t>
  </si>
  <si>
    <t>CARLA WOOD</t>
  </si>
  <si>
    <t>KENNETH VASQUEZ</t>
  </si>
  <si>
    <t>KEVIN SMITH</t>
  </si>
  <si>
    <t>THOMAS KIM</t>
  </si>
  <si>
    <t>SEAN PARK</t>
  </si>
  <si>
    <t>JUDITH POOLE</t>
  </si>
  <si>
    <t>MELANIE BAIRD</t>
  </si>
  <si>
    <t>ERIKA MITCHELL</t>
  </si>
  <si>
    <t>RICKY MARTINEZ</t>
  </si>
  <si>
    <t>JOHN CHRISTIAN</t>
  </si>
  <si>
    <t>NANCY SMITH</t>
  </si>
  <si>
    <t>CASSANDRA STEPHENS</t>
  </si>
  <si>
    <t>MISS JANET DONOVAN MD</t>
  </si>
  <si>
    <t>KRISTINA WILLIAMS</t>
  </si>
  <si>
    <t>WAYNE BARNES</t>
  </si>
  <si>
    <t>JAMES HINTON</t>
  </si>
  <si>
    <t>DAVID SPENCE</t>
  </si>
  <si>
    <t>TYLER COOPER</t>
  </si>
  <si>
    <t>SEAN MARTINEZ</t>
  </si>
  <si>
    <t>JANET BARRON</t>
  </si>
  <si>
    <t>RODNEY WILSON</t>
  </si>
  <si>
    <t>KIMBERLY FITZGERALD</t>
  </si>
  <si>
    <t>NICOLE DAVIS</t>
  </si>
  <si>
    <t>ELIZABETH HAYES</t>
  </si>
  <si>
    <t>KATHY FAULKNER</t>
  </si>
  <si>
    <t>JOHN GONZALES</t>
  </si>
  <si>
    <t>SHANNON LUNA</t>
  </si>
  <si>
    <t>STEPHANIE BURTON</t>
  </si>
  <si>
    <t>KEVIN GONZALES</t>
  </si>
  <si>
    <t>DAWN HARDY</t>
  </si>
  <si>
    <t>MARGARET PERKINS</t>
  </si>
  <si>
    <t>AMANDA VARGAS</t>
  </si>
  <si>
    <t>TONYA GONZALEZ</t>
  </si>
  <si>
    <t>ELIZABETH BOWMAN</t>
  </si>
  <si>
    <t>ARIANA PITTMAN</t>
  </si>
  <si>
    <t>ANTONIO JOHNSON</t>
  </si>
  <si>
    <t>JUSTIN LANG</t>
  </si>
  <si>
    <t>KELLI RAMIREZ</t>
  </si>
  <si>
    <t>DEBORAH TORRES</t>
  </si>
  <si>
    <t>JOSEPH HORN</t>
  </si>
  <si>
    <t>CHRISTOPHER ROBINSON</t>
  </si>
  <si>
    <t>SANDRA MCCORMICK</t>
  </si>
  <si>
    <t>MICHAEL HOLLAND</t>
  </si>
  <si>
    <t>KENNETH STEVENSON</t>
  </si>
  <si>
    <t>TIMOTHY BENNETT</t>
  </si>
  <si>
    <t>GREGORY RANDALL</t>
  </si>
  <si>
    <t>CHARLES MARTINEZ</t>
  </si>
  <si>
    <t>JAMES HALL</t>
  </si>
  <si>
    <t>MICHAEL GARCIA</t>
  </si>
  <si>
    <t>MICHELE DURAN</t>
  </si>
  <si>
    <t>JESSICA GRAY</t>
  </si>
  <si>
    <t>KEITH SHAFFER</t>
  </si>
  <si>
    <t>JESSICA DECKER</t>
  </si>
  <si>
    <t>BRIANNA PITTMAN</t>
  </si>
  <si>
    <t>KIMBERLY HUNTER</t>
  </si>
  <si>
    <t>DANIEL MARTIN</t>
  </si>
  <si>
    <t>RACHEL SMITH</t>
  </si>
  <si>
    <t>MICHAEL MILLER</t>
  </si>
  <si>
    <t>WILLIE CLARK</t>
  </si>
  <si>
    <t>JEREMY HERNANDEZ</t>
  </si>
  <si>
    <t>TINA SHELTON</t>
  </si>
  <si>
    <t>DR. PAMELA LARSON</t>
  </si>
  <si>
    <t>RYAN EWING</t>
  </si>
  <si>
    <t>MARK COCHRAN</t>
  </si>
  <si>
    <t>MARTHA CARSON</t>
  </si>
  <si>
    <t>HEATHER JACKSON</t>
  </si>
  <si>
    <t>MEGAN YOUNG</t>
  </si>
  <si>
    <t>THOMAS DAVIS</t>
  </si>
  <si>
    <t>THOMAS MOONEY</t>
  </si>
  <si>
    <t>SUSAN SMITH</t>
  </si>
  <si>
    <t>BRIANNA ORR</t>
  </si>
  <si>
    <t>DUSTIN SMITH</t>
  </si>
  <si>
    <t>SARAH WHITE</t>
  </si>
  <si>
    <t>MICHAEL DAVIS</t>
  </si>
  <si>
    <t>JENNIFER PHILLIPS</t>
  </si>
  <si>
    <t>DANA SANDERS</t>
  </si>
  <si>
    <t>DANIEL QUINN</t>
  </si>
  <si>
    <t>MATTHEW STEELE</t>
  </si>
  <si>
    <t>MICHELE TAYLOR</t>
  </si>
  <si>
    <t>ASHLEY HAMMOND</t>
  </si>
  <si>
    <t>NICOLE TAYLOR</t>
  </si>
  <si>
    <t>CASEY BUSH</t>
  </si>
  <si>
    <t>SAMUEL PATTERSON</t>
  </si>
  <si>
    <t>CRAIG DENNIS</t>
  </si>
  <si>
    <t>HEIDI DIXON</t>
  </si>
  <si>
    <t>DAVID BISHOP</t>
  </si>
  <si>
    <t>LAURA BUTLER</t>
  </si>
  <si>
    <t>DENISE ERICKSON</t>
  </si>
  <si>
    <t>NICOLE AUSTIN</t>
  </si>
  <si>
    <t>SUMMER WILLIAMS</t>
  </si>
  <si>
    <t>ANGELA BLACKWELL</t>
  </si>
  <si>
    <t>THOMAS WALL</t>
  </si>
  <si>
    <t>SARAH ANDERSON</t>
  </si>
  <si>
    <t>CHRISTIAN LANE</t>
  </si>
  <si>
    <t>TODD CASEY</t>
  </si>
  <si>
    <t>DAVID MARTINEZ</t>
  </si>
  <si>
    <t>DONALD SALAS</t>
  </si>
  <si>
    <t>EMMA HICKS</t>
  </si>
  <si>
    <t>ALISON CLARK</t>
  </si>
  <si>
    <t>ANDREW BARNES</t>
  </si>
  <si>
    <t>GINA SNYDER</t>
  </si>
  <si>
    <t>DAVID WATSON</t>
  </si>
  <si>
    <t>JOHN DAVIS</t>
  </si>
  <si>
    <t>JOSEPH THOMAS</t>
  </si>
  <si>
    <t>DEAN FINLEY</t>
  </si>
  <si>
    <t>ASHLEY KEMP</t>
  </si>
  <si>
    <t>KENNETH EVANS</t>
  </si>
  <si>
    <t>BRANDON NEWMAN</t>
  </si>
  <si>
    <t>KATIE HENSLEY</t>
  </si>
  <si>
    <t>JOEL RANDOLPH</t>
  </si>
  <si>
    <t>ANDREW SCOTT</t>
  </si>
  <si>
    <t>ZACHARY OCHOA</t>
  </si>
  <si>
    <t>JOHN ARROYO</t>
  </si>
  <si>
    <t>MATTHEW FERNANDEZ</t>
  </si>
  <si>
    <t>BENJAMIN STARK</t>
  </si>
  <si>
    <t>TAMMY GREER</t>
  </si>
  <si>
    <t>CYNTHIA MCKINNEY</t>
  </si>
  <si>
    <t>WENDY RICE</t>
  </si>
  <si>
    <t>RANDY BENDER</t>
  </si>
  <si>
    <t>RICHARD DOMINGUEZ</t>
  </si>
  <si>
    <t>MELISSA MALDONADO</t>
  </si>
  <si>
    <t>LEAH HARRIS</t>
  </si>
  <si>
    <t>LYNN FRENCH</t>
  </si>
  <si>
    <t>ANGELA JOHNSON</t>
  </si>
  <si>
    <t>SARAH EDWARDS</t>
  </si>
  <si>
    <t>ROY COLLINS</t>
  </si>
  <si>
    <t>SAMANTHA PORTER</t>
  </si>
  <si>
    <t>JUAN ELLIOTT</t>
  </si>
  <si>
    <t>ELIZABETH PHILLIPS</t>
  </si>
  <si>
    <t>LAURA EVANS</t>
  </si>
  <si>
    <t>AMANDA MITCHELL</t>
  </si>
  <si>
    <t>SANDRA WILLIAMS</t>
  </si>
  <si>
    <t>ERIC JOHNSON</t>
  </si>
  <si>
    <t>JAVIER HOBBS</t>
  </si>
  <si>
    <t>JACOB JONES</t>
  </si>
  <si>
    <t>ZACHARY MURPHY</t>
  </si>
  <si>
    <t>JOSHUA OWENS</t>
  </si>
  <si>
    <t>DAWN MITCHELL</t>
  </si>
  <si>
    <t>REGINA DUNN</t>
  </si>
  <si>
    <t>ERNEST COLE</t>
  </si>
  <si>
    <t>HANNAH SANDERS</t>
  </si>
  <si>
    <t>ELLEN BOWMAN</t>
  </si>
  <si>
    <t>NANCY MOORE</t>
  </si>
  <si>
    <t>JOSEPH WOOD</t>
  </si>
  <si>
    <t>MICHAEL HARRELL</t>
  </si>
  <si>
    <t>CONNIE MCCLAIN</t>
  </si>
  <si>
    <t>MATTHEW BALDWIN</t>
  </si>
  <si>
    <t>DANIELLE NELSON</t>
  </si>
  <si>
    <t>STEVEN MOORE</t>
  </si>
  <si>
    <t>MEGAN HUDSON</t>
  </si>
  <si>
    <t>TRACY WHITE</t>
  </si>
  <si>
    <t>NATALIE DIAZ</t>
  </si>
  <si>
    <t>KAREN SCOTT</t>
  </si>
  <si>
    <t>JON JONES</t>
  </si>
  <si>
    <t>JASON PHILLIPS</t>
  </si>
  <si>
    <t>ERIC WALSH</t>
  </si>
  <si>
    <t>CAROL SCHNEIDER</t>
  </si>
  <si>
    <t>JUAN HINES</t>
  </si>
  <si>
    <t>MARTHA SWEENEY</t>
  </si>
  <si>
    <t>JASON WEAVER</t>
  </si>
  <si>
    <t>BENJAMIN STEVENS</t>
  </si>
  <si>
    <t>DANIEL LOPEZ</t>
  </si>
  <si>
    <t>JOHN SIMPSON</t>
  </si>
  <si>
    <t>KATRINA SCHULTZ</t>
  </si>
  <si>
    <t>DANIELLE BELL</t>
  </si>
  <si>
    <t>JASON BRADY</t>
  </si>
  <si>
    <t>MEGAN BRIGHT</t>
  </si>
  <si>
    <t>DAVID GRIFFIN</t>
  </si>
  <si>
    <t>MICHAEL CLARK</t>
  </si>
  <si>
    <t>REBECCA BARKER</t>
  </si>
  <si>
    <t>ANGELA SMITH</t>
  </si>
  <si>
    <t>CHRISTINA WRIGHT</t>
  </si>
  <si>
    <t>TODD TURNER</t>
  </si>
  <si>
    <t>ELIZABETH GREEN</t>
  </si>
  <si>
    <t>ALEX SMITH</t>
  </si>
  <si>
    <t>SHANE HALE</t>
  </si>
  <si>
    <t>KATHY GRIMES</t>
  </si>
  <si>
    <t>DAVID CHERRY</t>
  </si>
  <si>
    <t>RACHEL ROGERS</t>
  </si>
  <si>
    <t>TRAVIS BRAUN</t>
  </si>
  <si>
    <t>SHAWNA PALMER</t>
  </si>
  <si>
    <t>BRADLEY GAINES</t>
  </si>
  <si>
    <t>APRIL FORD</t>
  </si>
  <si>
    <t>JAMES GONZALEZ</t>
  </si>
  <si>
    <t>JOHN CASTILLO</t>
  </si>
  <si>
    <t>IAN HAYES</t>
  </si>
  <si>
    <t>CHRISTINE CASTRO</t>
  </si>
  <si>
    <t>JESSICA CHANEY</t>
  </si>
  <si>
    <t>JOHN GRAY</t>
  </si>
  <si>
    <t>SHANE BOOKER</t>
  </si>
  <si>
    <t>KYLE HALL</t>
  </si>
  <si>
    <t>RONALD MUNOZ</t>
  </si>
  <si>
    <t>CHRISTOPHER LONG</t>
  </si>
  <si>
    <t>SANDRA ALI</t>
  </si>
  <si>
    <t>JESSICA GARZA</t>
  </si>
  <si>
    <t>GREGORY WATERS</t>
  </si>
  <si>
    <t>MISTY ADAMS</t>
  </si>
  <si>
    <t>MEGAN BROWN</t>
  </si>
  <si>
    <t>GREGORY BROWN</t>
  </si>
  <si>
    <t>SCOTT ALEXANDER MD</t>
  </si>
  <si>
    <t>ERIC NGUYEN</t>
  </si>
  <si>
    <t>WENDY BOYER</t>
  </si>
  <si>
    <t>MARK CLARK</t>
  </si>
  <si>
    <t>CARL KLINE</t>
  </si>
  <si>
    <t>LINDA WILLIAMS</t>
  </si>
  <si>
    <t>JASON EDWARDS</t>
  </si>
  <si>
    <t>MADISON MCINTOSH</t>
  </si>
  <si>
    <t>DESIREE WINTERS</t>
  </si>
  <si>
    <t>RYAN TAYLOR</t>
  </si>
  <si>
    <t>PATRICIA SCOTT</t>
  </si>
  <si>
    <t>ERIN JIMENEZ</t>
  </si>
  <si>
    <t>ANTHONY KRAUSE</t>
  </si>
  <si>
    <t>DIANE DEAN</t>
  </si>
  <si>
    <t>STUART MCKINNEY</t>
  </si>
  <si>
    <t>KELLIE LE</t>
  </si>
  <si>
    <t>LAUREN HENRY</t>
  </si>
  <si>
    <t>BRANDON FOX</t>
  </si>
  <si>
    <t>RICHARD SMITH</t>
  </si>
  <si>
    <t>JOHN WHITE</t>
  </si>
  <si>
    <t>GILBERT MCINTYRE</t>
  </si>
  <si>
    <t>CHRISTOPHER SPARKS</t>
  </si>
  <si>
    <t>AARON HICKS</t>
  </si>
  <si>
    <t>JOSE PATTERSON</t>
  </si>
  <si>
    <t>BRYAN LONG</t>
  </si>
  <si>
    <t>TAMMY GOMEZ</t>
  </si>
  <si>
    <t>DIANA RAYMOND</t>
  </si>
  <si>
    <t>JESSICA ARMSTRONG</t>
  </si>
  <si>
    <t>AMANDA MARTIN</t>
  </si>
  <si>
    <t>ANNE HAMILTON</t>
  </si>
  <si>
    <t>HEATHER CURTIS</t>
  </si>
  <si>
    <t>TIFFANY MOSES</t>
  </si>
  <si>
    <t>JACQUELINE MOON</t>
  </si>
  <si>
    <t>JAMES CAMPBELL</t>
  </si>
  <si>
    <t>MELISSA VASQUEZ</t>
  </si>
  <si>
    <t>KATHERINE CARLSON</t>
  </si>
  <si>
    <t>ADAM CLAY</t>
  </si>
  <si>
    <t>AMY COMBS</t>
  </si>
  <si>
    <t>ANTHONY CASE</t>
  </si>
  <si>
    <t>KIMBERLY BROWN</t>
  </si>
  <si>
    <t>JOSHUA HOLLOWAY</t>
  </si>
  <si>
    <t>CYNTHIA WALTON</t>
  </si>
  <si>
    <t>SHAWN DELGADO</t>
  </si>
  <si>
    <t>JEREMY SMITH</t>
  </si>
  <si>
    <t>MARC ORTIZ</t>
  </si>
  <si>
    <t>MICHELLE GREGORY</t>
  </si>
  <si>
    <t>MELANIE GAY</t>
  </si>
  <si>
    <t>BRITTANY LAMBERT</t>
  </si>
  <si>
    <t>MARY HERNANDEZ</t>
  </si>
  <si>
    <t>JONATHAN JONES</t>
  </si>
  <si>
    <t>GINA WILLIAMS</t>
  </si>
  <si>
    <t>KELLY LAWSON</t>
  </si>
  <si>
    <t>KEITH SMITH</t>
  </si>
  <si>
    <t>CHRISTOPHER HUNTER</t>
  </si>
  <si>
    <t>DWAYNE PARKS</t>
  </si>
  <si>
    <t>MARY HALL</t>
  </si>
  <si>
    <t>JAKE GILMORE</t>
  </si>
  <si>
    <t>MARK LOPEZ</t>
  </si>
  <si>
    <t>DANA RICE</t>
  </si>
  <si>
    <t>BETH YOUNG</t>
  </si>
  <si>
    <t>RYAN POWELL</t>
  </si>
  <si>
    <t>AMANDA FOWLER</t>
  </si>
  <si>
    <t>LINDSAY RIVERA</t>
  </si>
  <si>
    <t>MARK WARD</t>
  </si>
  <si>
    <t>AMANDA SMITH</t>
  </si>
  <si>
    <t>EMILY BROWN</t>
  </si>
  <si>
    <t>DWAYNE CARDENAS</t>
  </si>
  <si>
    <t>DR. RHONDA HERNANDEZ</t>
  </si>
  <si>
    <t>MELODY BARKER</t>
  </si>
  <si>
    <t>RUSSELL CARPENTER</t>
  </si>
  <si>
    <t>RICHARD HILL</t>
  </si>
  <si>
    <t>LINDSAY POTTS</t>
  </si>
  <si>
    <t>MICHELLE CAMPBELL</t>
  </si>
  <si>
    <t>ALAN WILLIAMS</t>
  </si>
  <si>
    <t>ROBIN HINTON</t>
  </si>
  <si>
    <t>BRIAN HOLLAND</t>
  </si>
  <si>
    <t>ADAM STONE</t>
  </si>
  <si>
    <t>CURTIS LAMBERT</t>
  </si>
  <si>
    <t>ALEXANDRA SIMS</t>
  </si>
  <si>
    <t>BRENDA SPENCER</t>
  </si>
  <si>
    <t>JOSHUA BUSH</t>
  </si>
  <si>
    <t>ERIN MARTIN</t>
  </si>
  <si>
    <t>ALEXANDER HOGAN</t>
  </si>
  <si>
    <t>WILLIAM HARRIS</t>
  </si>
  <si>
    <t>MICHAEL MCMAHON</t>
  </si>
  <si>
    <t>MICHAEL WATSON</t>
  </si>
  <si>
    <t>LORI PEREZ</t>
  </si>
  <si>
    <t>LINDSAY LE</t>
  </si>
  <si>
    <t>SCOTT LONG</t>
  </si>
  <si>
    <t>DIANA FERGUSON</t>
  </si>
  <si>
    <t>JOSEPH MILLER</t>
  </si>
  <si>
    <t>JULIA REID</t>
  </si>
  <si>
    <t>SAMANTHA MATTHEWS</t>
  </si>
  <si>
    <t>BRIAN BAILEY</t>
  </si>
  <si>
    <t>TONI HINTON</t>
  </si>
  <si>
    <t>ROBIN ORTIZ</t>
  </si>
  <si>
    <t>ADAM GRIFFITH</t>
  </si>
  <si>
    <t>DANIEL ROBERSON</t>
  </si>
  <si>
    <t>DALE HAYNES</t>
  </si>
  <si>
    <t>EMILY SCOTT</t>
  </si>
  <si>
    <t>DAVID BROWN</t>
  </si>
  <si>
    <t>STEPHANIE GUZMAN</t>
  </si>
  <si>
    <t>MAXWELL JOHNSON</t>
  </si>
  <si>
    <t>REGINALD STEPHENS</t>
  </si>
  <si>
    <t>JUSTIN JONES</t>
  </si>
  <si>
    <t>KRISTINE GARCIA</t>
  </si>
  <si>
    <t>JOHN NGUYEN</t>
  </si>
  <si>
    <t>ANNA FLEMING</t>
  </si>
  <si>
    <t>LINDA WILLIAMSON</t>
  </si>
  <si>
    <t>ROY WILSON</t>
  </si>
  <si>
    <t>JENNIFER PIERCE</t>
  </si>
  <si>
    <t>JASON JOHNSON</t>
  </si>
  <si>
    <t>JASMINE LANE</t>
  </si>
  <si>
    <t>EVAN SOTO</t>
  </si>
  <si>
    <t>KEVIN SERRANO</t>
  </si>
  <si>
    <t>NATHANIEL BENSON</t>
  </si>
  <si>
    <t>DEANNA MILES</t>
  </si>
  <si>
    <t>BEVERLY ROY</t>
  </si>
  <si>
    <t>HEATHER SAUNDERS</t>
  </si>
  <si>
    <t>NICHOLAS GUERRERO</t>
  </si>
  <si>
    <t>CHRISTOPHER JOHNSON</t>
  </si>
  <si>
    <t>STEVEN FLOWERS</t>
  </si>
  <si>
    <t>MARVIN WOODS III</t>
  </si>
  <si>
    <t>MICHELLE COOK</t>
  </si>
  <si>
    <t>LOGAN ZAMORA</t>
  </si>
  <si>
    <t>CASEY ROBERTS</t>
  </si>
  <si>
    <t>JERRY PRICE</t>
  </si>
  <si>
    <t>KELLY ELLIS</t>
  </si>
  <si>
    <t>CALEB GUERRA</t>
  </si>
  <si>
    <t>SAMANTHA NORMAN</t>
  </si>
  <si>
    <t>SARAH CLARKE</t>
  </si>
  <si>
    <t>AARON BLAIR</t>
  </si>
  <si>
    <t>COURTNEY BURTON</t>
  </si>
  <si>
    <t>GERALD TAYLOR</t>
  </si>
  <si>
    <t>MARY WARD</t>
  </si>
  <si>
    <t>MRS. LISA BEARD DVM</t>
  </si>
  <si>
    <t>LARRY WALLACE</t>
  </si>
  <si>
    <t>JEREMIAH THOMPSON</t>
  </si>
  <si>
    <t>MRS. JESSICA WILLIAMS DVM</t>
  </si>
  <si>
    <t>MARTIN MORENO</t>
  </si>
  <si>
    <t>YOLANDA PROCTOR</t>
  </si>
  <si>
    <t>ALLEN TURNER</t>
  </si>
  <si>
    <t>BETH HUFF</t>
  </si>
  <si>
    <t>JOHN MCKINNEY</t>
  </si>
  <si>
    <t>LINDSEY WANG</t>
  </si>
  <si>
    <t>MARGARET SCHWARTZ</t>
  </si>
  <si>
    <t>KYLE RAY</t>
  </si>
  <si>
    <t>ISAAC HEBERT</t>
  </si>
  <si>
    <t>MICHELE JONES</t>
  </si>
  <si>
    <t>AUSTIN ALLEN</t>
  </si>
  <si>
    <t>HALEY CASTRO</t>
  </si>
  <si>
    <t>DAVID ARMSTRONG</t>
  </si>
  <si>
    <t>WENDY MITCHELL</t>
  </si>
  <si>
    <t>ANTHONY HERNANDEZ</t>
  </si>
  <si>
    <t>ERICA JOHNSON</t>
  </si>
  <si>
    <t>RANDALL BARRETT</t>
  </si>
  <si>
    <t>NATHAN HUFF</t>
  </si>
  <si>
    <t>ROBIN WALSH</t>
  </si>
  <si>
    <t>YVONNE ROBINSON</t>
  </si>
  <si>
    <t>KATHLEEN HENDRIX</t>
  </si>
  <si>
    <t>JENNIFER BAKER</t>
  </si>
  <si>
    <t>KIM MARTINEZ</t>
  </si>
  <si>
    <t>ANDREW LITTLE</t>
  </si>
  <si>
    <t>KELLY SHELTON</t>
  </si>
  <si>
    <t>STEVEN DUNCAN</t>
  </si>
  <si>
    <t>KRISTEN HANEY</t>
  </si>
  <si>
    <t>KATHY REESE</t>
  </si>
  <si>
    <t>STEVEN MURPHY</t>
  </si>
  <si>
    <t>WILLIAM HARTMAN</t>
  </si>
  <si>
    <t>SONYA HALEY</t>
  </si>
  <si>
    <t>PATRICIA RICHARDSON</t>
  </si>
  <si>
    <t>CAROLYN LOPEZ</t>
  </si>
  <si>
    <t>KYLE BURNS</t>
  </si>
  <si>
    <t>MARGARET GARCIA</t>
  </si>
  <si>
    <t>BRITTANY BARKER</t>
  </si>
  <si>
    <t>PAUL CAMPBELL</t>
  </si>
  <si>
    <t>AMY MORROW</t>
  </si>
  <si>
    <t>AMY FITZGERALD</t>
  </si>
  <si>
    <t>ANITA BECKER</t>
  </si>
  <si>
    <t>MRS. AMY BROOKS</t>
  </si>
  <si>
    <t>LORI MARSHALL</t>
  </si>
  <si>
    <t>JENNIFER MILLER</t>
  </si>
  <si>
    <t>THOMAS YOUNG</t>
  </si>
  <si>
    <t>ZACHARY LARSEN</t>
  </si>
  <si>
    <t>VALERIE GUTIERREZ</t>
  </si>
  <si>
    <t>DANIEL PARKER</t>
  </si>
  <si>
    <t>NICOLE BENNETT</t>
  </si>
  <si>
    <t>LAUREN LOWERY</t>
  </si>
  <si>
    <t>ALEXANDER WOODWARD</t>
  </si>
  <si>
    <t>ANTHONY WALTER</t>
  </si>
  <si>
    <t>VALERIE FINLEY</t>
  </si>
  <si>
    <t>DEBORAH KELLEY</t>
  </si>
  <si>
    <t>KRISTINA MILLER</t>
  </si>
  <si>
    <t>ANNE HAMPTON</t>
  </si>
  <si>
    <t>SANDRA HENRY</t>
  </si>
  <si>
    <t>TONY HESTER</t>
  </si>
  <si>
    <t>NATHAN DAVIS</t>
  </si>
  <si>
    <t>ERICA JACKSON</t>
  </si>
  <si>
    <t>NANCY GLOVER</t>
  </si>
  <si>
    <t>RICHARD SANCHEZ</t>
  </si>
  <si>
    <t>SAVANNAH REID</t>
  </si>
  <si>
    <t>ROBERT SALAZAR</t>
  </si>
  <si>
    <t>HECTOR GREER</t>
  </si>
  <si>
    <t>THOMAS JACKSON</t>
  </si>
  <si>
    <t>TINA CLARK</t>
  </si>
  <si>
    <t>HEATHER BROWN</t>
  </si>
  <si>
    <t>JOHN WEAVER</t>
  </si>
  <si>
    <t>BRADLEY HARRIS</t>
  </si>
  <si>
    <t>CASSANDRA MACDONALD</t>
  </si>
  <si>
    <t>MATTHEW WHITE</t>
  </si>
  <si>
    <t>MISS KIMBERLY MARSHALL</t>
  </si>
  <si>
    <t>LAURA THOMPSON</t>
  </si>
  <si>
    <t>NATHAN SOTO</t>
  </si>
  <si>
    <t>RHONDA HINES</t>
  </si>
  <si>
    <t>GABRIELLE BOWMAN</t>
  </si>
  <si>
    <t>JULIAN EDWARDS</t>
  </si>
  <si>
    <t>NICHOLAS SCOTT</t>
  </si>
  <si>
    <t>DANIEL GREEN</t>
  </si>
  <si>
    <t>CATHERINE JOHNSTON</t>
  </si>
  <si>
    <t>BRENDA KOCH</t>
  </si>
  <si>
    <t>MR. ROBERT MEZA</t>
  </si>
  <si>
    <t>LATOYA BROWN</t>
  </si>
  <si>
    <t>DAVID OSBORNE III</t>
  </si>
  <si>
    <t>DAVID HOOPER</t>
  </si>
  <si>
    <t>SARAH MILLER</t>
  </si>
  <si>
    <t>LISA WERNER MD</t>
  </si>
  <si>
    <t>ERIC JIMENEZ</t>
  </si>
  <si>
    <t>JAY BUSH</t>
  </si>
  <si>
    <t>JOHNNY RICE</t>
  </si>
  <si>
    <t>MATTHEW STRONG</t>
  </si>
  <si>
    <t>MARK CHANDLER</t>
  </si>
  <si>
    <t>CRYSTAL BROWN</t>
  </si>
  <si>
    <t>TIMOTHY BARTON</t>
  </si>
  <si>
    <t>LISA HICKMAN</t>
  </si>
  <si>
    <t>ALAN MENDOZA</t>
  </si>
  <si>
    <t>JASON SANDERS</t>
  </si>
  <si>
    <t>CHARLES DEAN</t>
  </si>
  <si>
    <t>BLAKE NEWTON</t>
  </si>
  <si>
    <t>DAVID GONZALEZ</t>
  </si>
  <si>
    <t>CINDY WILLIAMS</t>
  </si>
  <si>
    <t>LAURA WONG DDS</t>
  </si>
  <si>
    <t>ROBERT MORAN</t>
  </si>
  <si>
    <t>BRADLEY WU</t>
  </si>
  <si>
    <t>DANIEL THOMAS</t>
  </si>
  <si>
    <t>MICHELLE PETERSON</t>
  </si>
  <si>
    <t>SETH THOMAS</t>
  </si>
  <si>
    <t>EVAN RAMOS</t>
  </si>
  <si>
    <t>MICHELLE SOLIS</t>
  </si>
  <si>
    <t>CHARLOTTE TAYLOR</t>
  </si>
  <si>
    <t>SANDRA PRESTON</t>
  </si>
  <si>
    <t>JIM WEISS</t>
  </si>
  <si>
    <t>JENNIFER HINTON</t>
  </si>
  <si>
    <t>ALBERT WILCOX</t>
  </si>
  <si>
    <t>CHERYL NORRIS</t>
  </si>
  <si>
    <t>KATHY WATKINS</t>
  </si>
  <si>
    <t>JOHN OBRIEN</t>
  </si>
  <si>
    <t>DAWN GREEN</t>
  </si>
  <si>
    <t>MS.NICOLE KIDD</t>
  </si>
  <si>
    <t>COUNTRY LEFT</t>
  </si>
  <si>
    <t>NAME PROP</t>
  </si>
  <si>
    <t>NAME UPPER</t>
  </si>
  <si>
    <t xml:space="preserve">COUNTRY LOWER </t>
  </si>
  <si>
    <t>ID RIGHT</t>
  </si>
  <si>
    <t>NAME MID</t>
  </si>
  <si>
    <t>italy</t>
  </si>
  <si>
    <t>Ms.Nicole Kidd</t>
  </si>
  <si>
    <t>It</t>
  </si>
  <si>
    <t>Nicole</t>
  </si>
  <si>
    <t>02</t>
  </si>
  <si>
    <t>australia</t>
  </si>
  <si>
    <t>Au</t>
  </si>
  <si>
    <t>ssa Ga</t>
  </si>
  <si>
    <t>germany</t>
  </si>
  <si>
    <t>Ge</t>
  </si>
  <si>
    <t xml:space="preserve"> Nelso</t>
  </si>
  <si>
    <t>03</t>
  </si>
  <si>
    <t>da Spe</t>
  </si>
  <si>
    <t>04</t>
  </si>
  <si>
    <t>Lynn Curtis Dds</t>
  </si>
  <si>
    <t xml:space="preserve"> Curti</t>
  </si>
  <si>
    <t>05</t>
  </si>
  <si>
    <t>netherlands</t>
  </si>
  <si>
    <t>Ne</t>
  </si>
  <si>
    <t xml:space="preserve"> Johns</t>
  </si>
  <si>
    <t>06</t>
  </si>
  <si>
    <t>indonesia</t>
  </si>
  <si>
    <t>In</t>
  </si>
  <si>
    <t xml:space="preserve"> Myers</t>
  </si>
  <si>
    <t>07</t>
  </si>
  <si>
    <t>y Grah</t>
  </si>
  <si>
    <t>08</t>
  </si>
  <si>
    <t>us</t>
  </si>
  <si>
    <t xml:space="preserve"> Marti</t>
  </si>
  <si>
    <t>09</t>
  </si>
  <si>
    <t>turkey</t>
  </si>
  <si>
    <t>Tu</t>
  </si>
  <si>
    <t>hew Ll</t>
  </si>
  <si>
    <t>10</t>
  </si>
  <si>
    <t>uk</t>
  </si>
  <si>
    <t>n Rand</t>
  </si>
  <si>
    <t>11</t>
  </si>
  <si>
    <t>argentina</t>
  </si>
  <si>
    <t>Ar</t>
  </si>
  <si>
    <t>elle C</t>
  </si>
  <si>
    <t>12</t>
  </si>
  <si>
    <t>e Schn</t>
  </si>
  <si>
    <t>13</t>
  </si>
  <si>
    <t/>
  </si>
  <si>
    <t>lip Sh</t>
  </si>
  <si>
    <t>14</t>
  </si>
  <si>
    <t>rd Fer</t>
  </si>
  <si>
    <t>15</t>
  </si>
  <si>
    <t>japan</t>
  </si>
  <si>
    <t>Ja</t>
  </si>
  <si>
    <t>t Stou</t>
  </si>
  <si>
    <t>16</t>
  </si>
  <si>
    <t>a John</t>
  </si>
  <si>
    <t>17</t>
  </si>
  <si>
    <t>india</t>
  </si>
  <si>
    <t>t Burn</t>
  </si>
  <si>
    <t>18</t>
  </si>
  <si>
    <t>r Agui</t>
  </si>
  <si>
    <t>19</t>
  </si>
  <si>
    <t>hew La</t>
  </si>
  <si>
    <t>20</t>
  </si>
  <si>
    <t>s Cher</t>
  </si>
  <si>
    <t>21</t>
  </si>
  <si>
    <t>el San</t>
  </si>
  <si>
    <t>22</t>
  </si>
  <si>
    <t>brazil</t>
  </si>
  <si>
    <t>Br</t>
  </si>
  <si>
    <t>r Gree</t>
  </si>
  <si>
    <t>23</t>
  </si>
  <si>
    <t>south korea</t>
  </si>
  <si>
    <t>So</t>
  </si>
  <si>
    <t>nie Ca</t>
  </si>
  <si>
    <t>24</t>
  </si>
  <si>
    <t>ifer M</t>
  </si>
  <si>
    <t>25</t>
  </si>
  <si>
    <t xml:space="preserve"> Mccan</t>
  </si>
  <si>
    <t>26</t>
  </si>
  <si>
    <t>ssa Ba</t>
  </si>
  <si>
    <t>27</t>
  </si>
  <si>
    <t>russia</t>
  </si>
  <si>
    <t>Ru</t>
  </si>
  <si>
    <t>is Day</t>
  </si>
  <si>
    <t>28</t>
  </si>
  <si>
    <t>canada</t>
  </si>
  <si>
    <t>Ca</t>
  </si>
  <si>
    <t>n Jone</t>
  </si>
  <si>
    <t>29</t>
  </si>
  <si>
    <t xml:space="preserve"> Smith</t>
  </si>
  <si>
    <t>30</t>
  </si>
  <si>
    <t xml:space="preserve"> Carpe</t>
  </si>
  <si>
    <t>31</t>
  </si>
  <si>
    <t>france</t>
  </si>
  <si>
    <t>Fr</t>
  </si>
  <si>
    <t>thy Da</t>
  </si>
  <si>
    <t>32</t>
  </si>
  <si>
    <t>egypt</t>
  </si>
  <si>
    <t>Eg</t>
  </si>
  <si>
    <t>rt Nel</t>
  </si>
  <si>
    <t>33</t>
  </si>
  <si>
    <t>ael An</t>
  </si>
  <si>
    <t>34</t>
  </si>
  <si>
    <t>ica Sn</t>
  </si>
  <si>
    <t>35</t>
  </si>
  <si>
    <t>y Dani</t>
  </si>
  <si>
    <t>36</t>
  </si>
  <si>
    <t>e Rami</t>
  </si>
  <si>
    <t>37</t>
  </si>
  <si>
    <t>Harris</t>
  </si>
  <si>
    <t>38</t>
  </si>
  <si>
    <t>south africa</t>
  </si>
  <si>
    <t>nda Wh</t>
  </si>
  <si>
    <t>39</t>
  </si>
  <si>
    <t>s Hern</t>
  </si>
  <si>
    <t>40</t>
  </si>
  <si>
    <t>lica R</t>
  </si>
  <si>
    <t>41</t>
  </si>
  <si>
    <t>nnah W</t>
  </si>
  <si>
    <t>42</t>
  </si>
  <si>
    <t>lyn Sc</t>
  </si>
  <si>
    <t>43</t>
  </si>
  <si>
    <t>n Sing</t>
  </si>
  <si>
    <t>44</t>
  </si>
  <si>
    <t>elle R</t>
  </si>
  <si>
    <t>45</t>
  </si>
  <si>
    <t>s Brow</t>
  </si>
  <si>
    <t>46</t>
  </si>
  <si>
    <t xml:space="preserve"> Saman</t>
  </si>
  <si>
    <t>47</t>
  </si>
  <si>
    <t>china</t>
  </si>
  <si>
    <t>Ch</t>
  </si>
  <si>
    <t>e Maso</t>
  </si>
  <si>
    <t>48</t>
  </si>
  <si>
    <t>mexico</t>
  </si>
  <si>
    <t>Me</t>
  </si>
  <si>
    <t xml:space="preserve">nique </t>
  </si>
  <si>
    <t>49</t>
  </si>
  <si>
    <t>e Grif</t>
  </si>
  <si>
    <t>50</t>
  </si>
  <si>
    <t>e Burg</t>
  </si>
  <si>
    <t>51</t>
  </si>
  <si>
    <t>Scott</t>
  </si>
  <si>
    <t>52</t>
  </si>
  <si>
    <t xml:space="preserve"> Atkin</t>
  </si>
  <si>
    <t>53</t>
  </si>
  <si>
    <t>spain</t>
  </si>
  <si>
    <t>Sp</t>
  </si>
  <si>
    <t>y Hoga</t>
  </si>
  <si>
    <t>54</t>
  </si>
  <si>
    <t>55</t>
  </si>
  <si>
    <t>y Simp</t>
  </si>
  <si>
    <t>56</t>
  </si>
  <si>
    <t>a Pric</t>
  </si>
  <si>
    <t>57</t>
  </si>
  <si>
    <t xml:space="preserve"> Wrigh</t>
  </si>
  <si>
    <t>58</t>
  </si>
  <si>
    <t>ntha M</t>
  </si>
  <si>
    <t>59</t>
  </si>
  <si>
    <t>ara Fo</t>
  </si>
  <si>
    <t>60</t>
  </si>
  <si>
    <t>tney T</t>
  </si>
  <si>
    <t>61</t>
  </si>
  <si>
    <t>e Todd</t>
  </si>
  <si>
    <t>62</t>
  </si>
  <si>
    <t xml:space="preserve">stine </t>
  </si>
  <si>
    <t>63</t>
  </si>
  <si>
    <t xml:space="preserve"> Phelp</t>
  </si>
  <si>
    <t>64</t>
  </si>
  <si>
    <t>kah Wi</t>
  </si>
  <si>
    <t>65</t>
  </si>
  <si>
    <t>tal Wi</t>
  </si>
  <si>
    <t>66</t>
  </si>
  <si>
    <t>ey Cor</t>
  </si>
  <si>
    <t>67</t>
  </si>
  <si>
    <t>i Kell</t>
  </si>
  <si>
    <t>68</t>
  </si>
  <si>
    <t>y Warr</t>
  </si>
  <si>
    <t>69</t>
  </si>
  <si>
    <t xml:space="preserve"> Thomp</t>
  </si>
  <si>
    <t>70</t>
  </si>
  <si>
    <t>ne Ber</t>
  </si>
  <si>
    <t>71</t>
  </si>
  <si>
    <t>as Mil</t>
  </si>
  <si>
    <t>72</t>
  </si>
  <si>
    <t>olas B</t>
  </si>
  <si>
    <t>73</t>
  </si>
  <si>
    <t>e Rile</t>
  </si>
  <si>
    <t>74</t>
  </si>
  <si>
    <t>in Har</t>
  </si>
  <si>
    <t>75</t>
  </si>
  <si>
    <t>my Mey</t>
  </si>
  <si>
    <t>76</t>
  </si>
  <si>
    <t>thy Le</t>
  </si>
  <si>
    <t>77</t>
  </si>
  <si>
    <t>a Baut</t>
  </si>
  <si>
    <t>78</t>
  </si>
  <si>
    <t>ie Rod</t>
  </si>
  <si>
    <t>79</t>
  </si>
  <si>
    <t xml:space="preserve"> Wiggi</t>
  </si>
  <si>
    <t>80</t>
  </si>
  <si>
    <t>get Wi</t>
  </si>
  <si>
    <t>81</t>
  </si>
  <si>
    <t>nica B</t>
  </si>
  <si>
    <t>82</t>
  </si>
  <si>
    <t>ew Avi</t>
  </si>
  <si>
    <t>83</t>
  </si>
  <si>
    <t>ael Ro</t>
  </si>
  <si>
    <t>84</t>
  </si>
  <si>
    <t>in Jen</t>
  </si>
  <si>
    <t>85</t>
  </si>
  <si>
    <t>da Gre</t>
  </si>
  <si>
    <t>86</t>
  </si>
  <si>
    <t>el Pie</t>
  </si>
  <si>
    <t>87</t>
  </si>
  <si>
    <t>na Smi</t>
  </si>
  <si>
    <t>88</t>
  </si>
  <si>
    <t>ld Bar</t>
  </si>
  <si>
    <t>89</t>
  </si>
  <si>
    <t>hew Sm</t>
  </si>
  <si>
    <t>90</t>
  </si>
  <si>
    <t>n Huan</t>
  </si>
  <si>
    <t>91</t>
  </si>
  <si>
    <t>nda Hu</t>
  </si>
  <si>
    <t>92</t>
  </si>
  <si>
    <t xml:space="preserve"> Richa</t>
  </si>
  <si>
    <t>93</t>
  </si>
  <si>
    <t xml:space="preserve"> Jones</t>
  </si>
  <si>
    <t>94</t>
  </si>
  <si>
    <t>se Smi</t>
  </si>
  <si>
    <t>95</t>
  </si>
  <si>
    <t>by Mcm</t>
  </si>
  <si>
    <t>96</t>
  </si>
  <si>
    <t>any Wr</t>
  </si>
  <si>
    <t>97</t>
  </si>
  <si>
    <t>d Orti</t>
  </si>
  <si>
    <t>98</t>
  </si>
  <si>
    <t>ew Lyn</t>
  </si>
  <si>
    <t>99</t>
  </si>
  <si>
    <t>topher</t>
  </si>
  <si>
    <t>00</t>
  </si>
  <si>
    <t>as Rot</t>
  </si>
  <si>
    <t>01</t>
  </si>
  <si>
    <t>i Brow</t>
  </si>
  <si>
    <t>y Sutt</t>
  </si>
  <si>
    <t>erly H</t>
  </si>
  <si>
    <t>is Ric</t>
  </si>
  <si>
    <t>in Ho</t>
  </si>
  <si>
    <t xml:space="preserve"> Paul</t>
  </si>
  <si>
    <t>ifer L</t>
  </si>
  <si>
    <t xml:space="preserve">abeth </t>
  </si>
  <si>
    <t>erly G</t>
  </si>
  <si>
    <t>r Warn</t>
  </si>
  <si>
    <t xml:space="preserve"> Cox</t>
  </si>
  <si>
    <t xml:space="preserve"> Willi</t>
  </si>
  <si>
    <t>n Wong</t>
  </si>
  <si>
    <t>rt And</t>
  </si>
  <si>
    <t>ica To</t>
  </si>
  <si>
    <t>sa Kim</t>
  </si>
  <si>
    <t>Morgan</t>
  </si>
  <si>
    <t>ia Cha</t>
  </si>
  <si>
    <t>e Camp</t>
  </si>
  <si>
    <t>Allison Tucker Md</t>
  </si>
  <si>
    <t>son Tu</t>
  </si>
  <si>
    <t>ice Pe</t>
  </si>
  <si>
    <t>stophe</t>
  </si>
  <si>
    <t>a Garc</t>
  </si>
  <si>
    <t>ew Fue</t>
  </si>
  <si>
    <t>n Cart</t>
  </si>
  <si>
    <t>in Rom</t>
  </si>
  <si>
    <t>ton Bu</t>
  </si>
  <si>
    <t>than C</t>
  </si>
  <si>
    <t xml:space="preserve">ander </t>
  </si>
  <si>
    <t>ly Whi</t>
  </si>
  <si>
    <t>lyn Da</t>
  </si>
  <si>
    <t>y Jaco</t>
  </si>
  <si>
    <t>y Day</t>
  </si>
  <si>
    <t>as Ing</t>
  </si>
  <si>
    <t>a Hans</t>
  </si>
  <si>
    <t>a Bail</t>
  </si>
  <si>
    <t>ua Arm</t>
  </si>
  <si>
    <t>than G</t>
  </si>
  <si>
    <t>les Jo</t>
  </si>
  <si>
    <t>sey Mi</t>
  </si>
  <si>
    <t>rdo Re</t>
  </si>
  <si>
    <t>Fowler</t>
  </si>
  <si>
    <t>en Jon</t>
  </si>
  <si>
    <t>ey Che</t>
  </si>
  <si>
    <t>a Davi</t>
  </si>
  <si>
    <t>e Gonz</t>
  </si>
  <si>
    <t xml:space="preserve"> Balla</t>
  </si>
  <si>
    <t>a Mcgu</t>
  </si>
  <si>
    <t>hew Ri</t>
  </si>
  <si>
    <t>ick Ma</t>
  </si>
  <si>
    <t>y Mart</t>
  </si>
  <si>
    <t xml:space="preserve"> Edwar</t>
  </si>
  <si>
    <t>hell M</t>
  </si>
  <si>
    <t>hell P</t>
  </si>
  <si>
    <t>cca Ly</t>
  </si>
  <si>
    <t xml:space="preserve">stian </t>
  </si>
  <si>
    <t>an Bla</t>
  </si>
  <si>
    <t>icia L</t>
  </si>
  <si>
    <t>elle W</t>
  </si>
  <si>
    <t>ld Mit</t>
  </si>
  <si>
    <t xml:space="preserve"> Gordo</t>
  </si>
  <si>
    <t>ory Cl</t>
  </si>
  <si>
    <t>en Whi</t>
  </si>
  <si>
    <t>n Acos</t>
  </si>
  <si>
    <t>n Bake</t>
  </si>
  <si>
    <t>ony La</t>
  </si>
  <si>
    <t>olas C</t>
  </si>
  <si>
    <t>a Sala</t>
  </si>
  <si>
    <t>iam Sm</t>
  </si>
  <si>
    <t>line G</t>
  </si>
  <si>
    <t>my Saw</t>
  </si>
  <si>
    <t>rdo Bu</t>
  </si>
  <si>
    <t>da Jon</t>
  </si>
  <si>
    <t xml:space="preserve">erick </t>
  </si>
  <si>
    <t>ael Bl</t>
  </si>
  <si>
    <t>icia S</t>
  </si>
  <si>
    <t xml:space="preserve"> Josep</t>
  </si>
  <si>
    <t>ssa Wh</t>
  </si>
  <si>
    <t>ifer G</t>
  </si>
  <si>
    <t>ael Za</t>
  </si>
  <si>
    <t>erly W</t>
  </si>
  <si>
    <t>don Fo</t>
  </si>
  <si>
    <t>in Hou</t>
  </si>
  <si>
    <t>y Mull</t>
  </si>
  <si>
    <t>e Coch</t>
  </si>
  <si>
    <t>ssa Ri</t>
  </si>
  <si>
    <t>ick Du</t>
  </si>
  <si>
    <t xml:space="preserve"> Carso</t>
  </si>
  <si>
    <t>ifer C</t>
  </si>
  <si>
    <t>di Tuc</t>
  </si>
  <si>
    <t>ary Bu</t>
  </si>
  <si>
    <t>as Jon</t>
  </si>
  <si>
    <t>n Dunn</t>
  </si>
  <si>
    <t>ley St</t>
  </si>
  <si>
    <t>le Mey</t>
  </si>
  <si>
    <t xml:space="preserve"> Steph</t>
  </si>
  <si>
    <t>i Mira</t>
  </si>
  <si>
    <t>s Mart</t>
  </si>
  <si>
    <t xml:space="preserve"> Payne</t>
  </si>
  <si>
    <t>er Wil</t>
  </si>
  <si>
    <t>non Fa</t>
  </si>
  <si>
    <t>r Reye</t>
  </si>
  <si>
    <t>ten Kn</t>
  </si>
  <si>
    <t>iam Mo</t>
  </si>
  <si>
    <t>ifer R</t>
  </si>
  <si>
    <t>yla He</t>
  </si>
  <si>
    <t>b Kerr</t>
  </si>
  <si>
    <t>ael Ru</t>
  </si>
  <si>
    <t>ca Rob</t>
  </si>
  <si>
    <t>y Brow</t>
  </si>
  <si>
    <t>n Lars</t>
  </si>
  <si>
    <t>rt Eva</t>
  </si>
  <si>
    <t xml:space="preserve"> Poole</t>
  </si>
  <si>
    <t>ard Qu</t>
  </si>
  <si>
    <t>s Skin</t>
  </si>
  <si>
    <t>elle H</t>
  </si>
  <si>
    <t>ueline</t>
  </si>
  <si>
    <t>ell Jo</t>
  </si>
  <si>
    <t xml:space="preserve"> Crawf</t>
  </si>
  <si>
    <t>sea Ba</t>
  </si>
  <si>
    <t>ne Mar</t>
  </si>
  <si>
    <t>ph Ken</t>
  </si>
  <si>
    <t>n Welc</t>
  </si>
  <si>
    <t>hen Ra</t>
  </si>
  <si>
    <t>e Gray</t>
  </si>
  <si>
    <t>ael Wi</t>
  </si>
  <si>
    <t>hew Ma</t>
  </si>
  <si>
    <t>a Murp</t>
  </si>
  <si>
    <t xml:space="preserve"> Evans</t>
  </si>
  <si>
    <t>da Fle</t>
  </si>
  <si>
    <t>el Har</t>
  </si>
  <si>
    <t>el Bar</t>
  </si>
  <si>
    <t xml:space="preserve"> Cummi</t>
  </si>
  <si>
    <t>h Ho</t>
  </si>
  <si>
    <t>nica T</t>
  </si>
  <si>
    <t>hell W</t>
  </si>
  <si>
    <t>ca Mur</t>
  </si>
  <si>
    <t>ten Wi</t>
  </si>
  <si>
    <t>le Wri</t>
  </si>
  <si>
    <t>ew Rui</t>
  </si>
  <si>
    <t>ary Ja</t>
  </si>
  <si>
    <t xml:space="preserve">hanie </t>
  </si>
  <si>
    <t>Olson</t>
  </si>
  <si>
    <t xml:space="preserve"> Stark</t>
  </si>
  <si>
    <t>b Gill</t>
  </si>
  <si>
    <t>ony Ni</t>
  </si>
  <si>
    <t>iam Kn</t>
  </si>
  <si>
    <t>da Ree</t>
  </si>
  <si>
    <t>ie Lit</t>
  </si>
  <si>
    <t>en Jac</t>
  </si>
  <si>
    <t xml:space="preserve"> Perry</t>
  </si>
  <si>
    <t>ron Sp</t>
  </si>
  <si>
    <t>ifer H</t>
  </si>
  <si>
    <t>b Jose</t>
  </si>
  <si>
    <t>ery Tu</t>
  </si>
  <si>
    <t>n Baut</t>
  </si>
  <si>
    <t>ta Wel</t>
  </si>
  <si>
    <t>e Whit</t>
  </si>
  <si>
    <t>ara Ke</t>
  </si>
  <si>
    <t>her Ca</t>
  </si>
  <si>
    <t>nie Ha</t>
  </si>
  <si>
    <t>y Long</t>
  </si>
  <si>
    <t>Juan M</t>
  </si>
  <si>
    <t>iam Ga</t>
  </si>
  <si>
    <t>y Yate</t>
  </si>
  <si>
    <t>ard Mc</t>
  </si>
  <si>
    <t>Anthony Goodwin Dds</t>
  </si>
  <si>
    <t>ony Go</t>
  </si>
  <si>
    <t>an Wal</t>
  </si>
  <si>
    <t>d Powe</t>
  </si>
  <si>
    <t>y Jone</t>
  </si>
  <si>
    <t>Michae</t>
  </si>
  <si>
    <t xml:space="preserve"> Novak</t>
  </si>
  <si>
    <t>Contre</t>
  </si>
  <si>
    <t xml:space="preserve"> Reed</t>
  </si>
  <si>
    <t>en Ros</t>
  </si>
  <si>
    <t>ice Wi</t>
  </si>
  <si>
    <t>e Hump</t>
  </si>
  <si>
    <t>s Carr</t>
  </si>
  <si>
    <t>ph Men</t>
  </si>
  <si>
    <t>y Bald</t>
  </si>
  <si>
    <t xml:space="preserve"> Stanl</t>
  </si>
  <si>
    <t>rey Ed</t>
  </si>
  <si>
    <t>Lee</t>
  </si>
  <si>
    <t xml:space="preserve"> Wilso</t>
  </si>
  <si>
    <t>y Mend</t>
  </si>
  <si>
    <t xml:space="preserve"> Crane</t>
  </si>
  <si>
    <t>el Rog</t>
  </si>
  <si>
    <t>as Rob</t>
  </si>
  <si>
    <t>Joel Brown Iii</t>
  </si>
  <si>
    <t xml:space="preserve"> Brown</t>
  </si>
  <si>
    <t>ia Sch</t>
  </si>
  <si>
    <t>ton Pe</t>
  </si>
  <si>
    <t>ey Sal</t>
  </si>
  <si>
    <t>rt Luc</t>
  </si>
  <si>
    <t>d Cox</t>
  </si>
  <si>
    <t xml:space="preserve"> Angel</t>
  </si>
  <si>
    <t>s Chen</t>
  </si>
  <si>
    <t>n Nels</t>
  </si>
  <si>
    <t>da Bri</t>
  </si>
  <si>
    <t>ld Smi</t>
  </si>
  <si>
    <t>ta Gil</t>
  </si>
  <si>
    <t>la Cas</t>
  </si>
  <si>
    <t>n Lee</t>
  </si>
  <si>
    <t>iam Nu</t>
  </si>
  <si>
    <t>ryn My</t>
  </si>
  <si>
    <t>rt Wal</t>
  </si>
  <si>
    <t>in Joh</t>
  </si>
  <si>
    <t>a Stev</t>
  </si>
  <si>
    <t>ifer A</t>
  </si>
  <si>
    <t xml:space="preserve"> Hudso</t>
  </si>
  <si>
    <t>ica Sm</t>
  </si>
  <si>
    <t xml:space="preserve"> Dean</t>
  </si>
  <si>
    <t>y Hill</t>
  </si>
  <si>
    <t xml:space="preserve">aniel </t>
  </si>
  <si>
    <t>icia M</t>
  </si>
  <si>
    <t>cca Sc</t>
  </si>
  <si>
    <t xml:space="preserve"> Green</t>
  </si>
  <si>
    <t>tany M</t>
  </si>
  <si>
    <t xml:space="preserve"> Mille</t>
  </si>
  <si>
    <t>ph Rob</t>
  </si>
  <si>
    <t>n Prui</t>
  </si>
  <si>
    <t>oria M</t>
  </si>
  <si>
    <t>ence V</t>
  </si>
  <si>
    <t>rah Da</t>
  </si>
  <si>
    <t>le Roc</t>
  </si>
  <si>
    <t>ah Gre</t>
  </si>
  <si>
    <t>y John</t>
  </si>
  <si>
    <t>ard Ve</t>
  </si>
  <si>
    <t>miah R</t>
  </si>
  <si>
    <t>en Lan</t>
  </si>
  <si>
    <t>hew Ph</t>
  </si>
  <si>
    <t>da May</t>
  </si>
  <si>
    <t>ica Va</t>
  </si>
  <si>
    <t>a Gall</t>
  </si>
  <si>
    <t>les Pr</t>
  </si>
  <si>
    <t xml:space="preserve">stina </t>
  </si>
  <si>
    <t>a Kell</t>
  </si>
  <si>
    <t xml:space="preserve"> Webb</t>
  </si>
  <si>
    <t>ley Ag</t>
  </si>
  <si>
    <t>ur Vas</t>
  </si>
  <si>
    <t>er Yod</t>
  </si>
  <si>
    <t>ie All</t>
  </si>
  <si>
    <t>don Wi</t>
  </si>
  <si>
    <t>el Tor</t>
  </si>
  <si>
    <t>t Kell</t>
  </si>
  <si>
    <t>rah Br</t>
  </si>
  <si>
    <t>n Scot</t>
  </si>
  <si>
    <t>ory Ga</t>
  </si>
  <si>
    <t>sea An</t>
  </si>
  <si>
    <t>ld Joh</t>
  </si>
  <si>
    <t>n Elli</t>
  </si>
  <si>
    <t>hell K</t>
  </si>
  <si>
    <t>ld Wal</t>
  </si>
  <si>
    <t>ony Av</t>
  </si>
  <si>
    <t>las Go</t>
  </si>
  <si>
    <t>s Mill</t>
  </si>
  <si>
    <t>le Mar</t>
  </si>
  <si>
    <t>lis Da</t>
  </si>
  <si>
    <t>e Arno</t>
  </si>
  <si>
    <t xml:space="preserve"> Robin</t>
  </si>
  <si>
    <t>h Proc</t>
  </si>
  <si>
    <t>hew Hi</t>
  </si>
  <si>
    <t>ne Rey</t>
  </si>
  <si>
    <t>c Gray</t>
  </si>
  <si>
    <t>ua Rob</t>
  </si>
  <si>
    <t xml:space="preserve"> Malon</t>
  </si>
  <si>
    <t>Anthony Huynh Md</t>
  </si>
  <si>
    <t>ony Hu</t>
  </si>
  <si>
    <t>y York</t>
  </si>
  <si>
    <t>Christ</t>
  </si>
  <si>
    <t>el Fos</t>
  </si>
  <si>
    <t xml:space="preserve">David </t>
  </si>
  <si>
    <t>n Adam</t>
  </si>
  <si>
    <t>t Moor</t>
  </si>
  <si>
    <t>lip Gr</t>
  </si>
  <si>
    <t>ie Wal</t>
  </si>
  <si>
    <t>b Aust</t>
  </si>
  <si>
    <t>ina Da</t>
  </si>
  <si>
    <t>in Dou</t>
  </si>
  <si>
    <t>en Nor</t>
  </si>
  <si>
    <t>y Sull</t>
  </si>
  <si>
    <t>e Flor</t>
  </si>
  <si>
    <t>ica Er</t>
  </si>
  <si>
    <t xml:space="preserve"> Moses</t>
  </si>
  <si>
    <t>son He</t>
  </si>
  <si>
    <t>n Dixo</t>
  </si>
  <si>
    <t>d Morr</t>
  </si>
  <si>
    <t>s Jaco</t>
  </si>
  <si>
    <t>leen Q</t>
  </si>
  <si>
    <t>Natalie Frank Md</t>
  </si>
  <si>
    <t>lie Fr</t>
  </si>
  <si>
    <t>ael Re</t>
  </si>
  <si>
    <t>la Smi</t>
  </si>
  <si>
    <t>an For</t>
  </si>
  <si>
    <t>a Schu</t>
  </si>
  <si>
    <t>na Dan</t>
  </si>
  <si>
    <t>son Pe</t>
  </si>
  <si>
    <t>ley We</t>
  </si>
  <si>
    <t>h Hall</t>
  </si>
  <si>
    <t>a Walt</t>
  </si>
  <si>
    <t>Paul W</t>
  </si>
  <si>
    <t>ara Br</t>
  </si>
  <si>
    <t>erly A</t>
  </si>
  <si>
    <t>ony Do</t>
  </si>
  <si>
    <t xml:space="preserve"> Orteg</t>
  </si>
  <si>
    <t>in Moo</t>
  </si>
  <si>
    <t xml:space="preserve"> Frenc</t>
  </si>
  <si>
    <t>y Huds</t>
  </si>
  <si>
    <t>t Wash</t>
  </si>
  <si>
    <t>thy Wr</t>
  </si>
  <si>
    <t>ph Gon</t>
  </si>
  <si>
    <t>ea Per</t>
  </si>
  <si>
    <t>l Coll</t>
  </si>
  <si>
    <t>el Ter</t>
  </si>
  <si>
    <t>se Nea</t>
  </si>
  <si>
    <t>da Jac</t>
  </si>
  <si>
    <t>n Merc</t>
  </si>
  <si>
    <t>say Hu</t>
  </si>
  <si>
    <t>Jessic</t>
  </si>
  <si>
    <t>is Max</t>
  </si>
  <si>
    <t>Adam Kelly Phd</t>
  </si>
  <si>
    <t xml:space="preserve"> Kelly</t>
  </si>
  <si>
    <t>e Beck</t>
  </si>
  <si>
    <t>s Moor</t>
  </si>
  <si>
    <t>elle B</t>
  </si>
  <si>
    <t>d Sanc</t>
  </si>
  <si>
    <t>any Bo</t>
  </si>
  <si>
    <t>s Quin</t>
  </si>
  <si>
    <t>Mr. Danny Morris Dds</t>
  </si>
  <si>
    <t xml:space="preserve">Danny </t>
  </si>
  <si>
    <t>le Yor</t>
  </si>
  <si>
    <t xml:space="preserve"> Mathi</t>
  </si>
  <si>
    <t>e Barn</t>
  </si>
  <si>
    <t>ine Ha</t>
  </si>
  <si>
    <t xml:space="preserve"> Henry</t>
  </si>
  <si>
    <t>th Rig</t>
  </si>
  <si>
    <t>in Rui</t>
  </si>
  <si>
    <t>ifer S</t>
  </si>
  <si>
    <t>e Mora</t>
  </si>
  <si>
    <t>ca Smi</t>
  </si>
  <si>
    <t>May</t>
  </si>
  <si>
    <t>a Meye</t>
  </si>
  <si>
    <t xml:space="preserve"> Bray</t>
  </si>
  <si>
    <t>s Smit</t>
  </si>
  <si>
    <t xml:space="preserve"> Dunca</t>
  </si>
  <si>
    <t>hew Ga</t>
  </si>
  <si>
    <t>yl Fre</t>
  </si>
  <si>
    <t>ick We</t>
  </si>
  <si>
    <t>g Levi</t>
  </si>
  <si>
    <t>ard Ha</t>
  </si>
  <si>
    <t>ie She</t>
  </si>
  <si>
    <t>h Truj</t>
  </si>
  <si>
    <t>y Comb</t>
  </si>
  <si>
    <t>nio Ki</t>
  </si>
  <si>
    <t>rey Co</t>
  </si>
  <si>
    <t>son Wi</t>
  </si>
  <si>
    <t>ond Sh</t>
  </si>
  <si>
    <t>ifer N</t>
  </si>
  <si>
    <t>y Hort</t>
  </si>
  <si>
    <t>e Lest</t>
  </si>
  <si>
    <t>n Flor</t>
  </si>
  <si>
    <t>Aaron Stewart Phd</t>
  </si>
  <si>
    <t>n Stew</t>
  </si>
  <si>
    <t>n Moor</t>
  </si>
  <si>
    <t>nne In</t>
  </si>
  <si>
    <t>b Mcla</t>
  </si>
  <si>
    <t>ael Nu</t>
  </si>
  <si>
    <t>el Bro</t>
  </si>
  <si>
    <t>ael St</t>
  </si>
  <si>
    <t>rt Sto</t>
  </si>
  <si>
    <t>on Hen</t>
  </si>
  <si>
    <t>s Todd</t>
  </si>
  <si>
    <t>Clifford Moore Md</t>
  </si>
  <si>
    <t>ford M</t>
  </si>
  <si>
    <t xml:space="preserve"> Rios</t>
  </si>
  <si>
    <t>ony Ga</t>
  </si>
  <si>
    <t>Kristi Brown Dvm</t>
  </si>
  <si>
    <t>ti Bro</t>
  </si>
  <si>
    <t>ey Odo</t>
  </si>
  <si>
    <t>ld Ell</t>
  </si>
  <si>
    <t>aine L</t>
  </si>
  <si>
    <t>oria C</t>
  </si>
  <si>
    <t>her Da</t>
  </si>
  <si>
    <t>a Chas</t>
  </si>
  <si>
    <t>elle A</t>
  </si>
  <si>
    <t>eth Ar</t>
  </si>
  <si>
    <t>oria O</t>
  </si>
  <si>
    <t>ntha K</t>
  </si>
  <si>
    <t>t Comp</t>
  </si>
  <si>
    <t>ca Wes</t>
  </si>
  <si>
    <t>esa St</t>
  </si>
  <si>
    <t>en Kim</t>
  </si>
  <si>
    <t>ti Kni</t>
  </si>
  <si>
    <t>n Brya</t>
  </si>
  <si>
    <t>een Ke</t>
  </si>
  <si>
    <t>n Hoga</t>
  </si>
  <si>
    <t>iam Da</t>
  </si>
  <si>
    <t>y Bail</t>
  </si>
  <si>
    <t>as Dix</t>
  </si>
  <si>
    <t>a Hall</t>
  </si>
  <si>
    <t xml:space="preserve"> Lee</t>
  </si>
  <si>
    <t>Catherine Mccoy Md</t>
  </si>
  <si>
    <t xml:space="preserve">erine </t>
  </si>
  <si>
    <t>a Beni</t>
  </si>
  <si>
    <t>ua Cha</t>
  </si>
  <si>
    <t>ce Dan</t>
  </si>
  <si>
    <t>a Wood</t>
  </si>
  <si>
    <t>eth Va</t>
  </si>
  <si>
    <t>n Smit</t>
  </si>
  <si>
    <t>as Kim</t>
  </si>
  <si>
    <t xml:space="preserve"> Park</t>
  </si>
  <si>
    <t>th Poo</t>
  </si>
  <si>
    <t>nie Ba</t>
  </si>
  <si>
    <t>a Mitc</t>
  </si>
  <si>
    <t xml:space="preserve"> Chris</t>
  </si>
  <si>
    <t>y Smit</t>
  </si>
  <si>
    <t xml:space="preserve">andra </t>
  </si>
  <si>
    <t>Miss Janet Donovan Md</t>
  </si>
  <si>
    <t xml:space="preserve"> Janet</t>
  </si>
  <si>
    <t>tina W</t>
  </si>
  <si>
    <t>s Hint</t>
  </si>
  <si>
    <t>d Spen</t>
  </si>
  <si>
    <t>r Coop</t>
  </si>
  <si>
    <t>t Barr</t>
  </si>
  <si>
    <t>ey Wil</t>
  </si>
  <si>
    <t>erly F</t>
  </si>
  <si>
    <t>le Dav</t>
  </si>
  <si>
    <t>y Faul</t>
  </si>
  <si>
    <t xml:space="preserve"> Gonza</t>
  </si>
  <si>
    <t>non Lu</t>
  </si>
  <si>
    <t>n Gonz</t>
  </si>
  <si>
    <t xml:space="preserve"> Hardy</t>
  </si>
  <si>
    <t>aret P</t>
  </si>
  <si>
    <t>da Var</t>
  </si>
  <si>
    <t>a Gonz</t>
  </si>
  <si>
    <t>na Pit</t>
  </si>
  <si>
    <t>nio Jo</t>
  </si>
  <si>
    <t>in Lan</t>
  </si>
  <si>
    <t>i Rami</t>
  </si>
  <si>
    <t>rah To</t>
  </si>
  <si>
    <t>ph Hor</t>
  </si>
  <si>
    <t>ra Mcc</t>
  </si>
  <si>
    <t>ael Ho</t>
  </si>
  <si>
    <t>eth St</t>
  </si>
  <si>
    <t>thy Be</t>
  </si>
  <si>
    <t>ory Ra</t>
  </si>
  <si>
    <t>les Ma</t>
  </si>
  <si>
    <t>s Hall</t>
  </si>
  <si>
    <t>ael Ga</t>
  </si>
  <si>
    <t>ele Du</t>
  </si>
  <si>
    <t>ica Gr</t>
  </si>
  <si>
    <t>h Shaf</t>
  </si>
  <si>
    <t>ica De</t>
  </si>
  <si>
    <t>nna Pi</t>
  </si>
  <si>
    <t>el Mar</t>
  </si>
  <si>
    <t>el Smi</t>
  </si>
  <si>
    <t>ael Mi</t>
  </si>
  <si>
    <t>ie Cla</t>
  </si>
  <si>
    <t>my Her</t>
  </si>
  <si>
    <t xml:space="preserve"> Shelt</t>
  </si>
  <si>
    <t>Pamela</t>
  </si>
  <si>
    <t xml:space="preserve"> Ewing</t>
  </si>
  <si>
    <t xml:space="preserve"> Cochr</t>
  </si>
  <si>
    <t>ha Car</t>
  </si>
  <si>
    <t>her Ja</t>
  </si>
  <si>
    <t>n Youn</t>
  </si>
  <si>
    <t>as Dav</t>
  </si>
  <si>
    <t>as Moo</t>
  </si>
  <si>
    <t>nna Or</t>
  </si>
  <si>
    <t>in Smi</t>
  </si>
  <si>
    <t>h Whit</t>
  </si>
  <si>
    <t>ael Da</t>
  </si>
  <si>
    <t>ifer P</t>
  </si>
  <si>
    <t xml:space="preserve"> Sande</t>
  </si>
  <si>
    <t>el Qui</t>
  </si>
  <si>
    <t>hew St</t>
  </si>
  <si>
    <t>ele Ta</t>
  </si>
  <si>
    <t>ey Ham</t>
  </si>
  <si>
    <t>le Tay</t>
  </si>
  <si>
    <t>y Bush</t>
  </si>
  <si>
    <t>el Pat</t>
  </si>
  <si>
    <t>g Denn</t>
  </si>
  <si>
    <t>i Dixo</t>
  </si>
  <si>
    <t>d Bish</t>
  </si>
  <si>
    <t>a Butl</t>
  </si>
  <si>
    <t>se Eri</t>
  </si>
  <si>
    <t>le Aus</t>
  </si>
  <si>
    <t>la Bla</t>
  </si>
  <si>
    <t>as Wal</t>
  </si>
  <si>
    <t>h Ande</t>
  </si>
  <si>
    <t xml:space="preserve"> Casey</t>
  </si>
  <si>
    <t>d Mart</t>
  </si>
  <si>
    <t>ld Sal</t>
  </si>
  <si>
    <t xml:space="preserve"> Hicks</t>
  </si>
  <si>
    <t>on Cla</t>
  </si>
  <si>
    <t>ew Bar</t>
  </si>
  <si>
    <t xml:space="preserve"> Snyde</t>
  </si>
  <si>
    <t>d Wats</t>
  </si>
  <si>
    <t xml:space="preserve"> Davis</t>
  </si>
  <si>
    <t>ph Tho</t>
  </si>
  <si>
    <t xml:space="preserve"> Finle</t>
  </si>
  <si>
    <t>ey Kem</t>
  </si>
  <si>
    <t>eth Ev</t>
  </si>
  <si>
    <t>don Ne</t>
  </si>
  <si>
    <t>e Hens</t>
  </si>
  <si>
    <t xml:space="preserve"> Rando</t>
  </si>
  <si>
    <t>ew Sco</t>
  </si>
  <si>
    <t>ary Oc</t>
  </si>
  <si>
    <t xml:space="preserve"> Arroy</t>
  </si>
  <si>
    <t>hew Fe</t>
  </si>
  <si>
    <t>amin S</t>
  </si>
  <si>
    <t>y Gree</t>
  </si>
  <si>
    <t>hia Mc</t>
  </si>
  <si>
    <t>y Rice</t>
  </si>
  <si>
    <t>y Bend</t>
  </si>
  <si>
    <t>ard Do</t>
  </si>
  <si>
    <t>ssa Ma</t>
  </si>
  <si>
    <t xml:space="preserve"> Harri</t>
  </si>
  <si>
    <t>la Joh</t>
  </si>
  <si>
    <t>h Edwa</t>
  </si>
  <si>
    <t>Collin</t>
  </si>
  <si>
    <t>ntha P</t>
  </si>
  <si>
    <t xml:space="preserve"> Ellio</t>
  </si>
  <si>
    <t>a Evan</t>
  </si>
  <si>
    <t>da Mit</t>
  </si>
  <si>
    <t>ra Wil</t>
  </si>
  <si>
    <t>er Hob</t>
  </si>
  <si>
    <t>b Jone</t>
  </si>
  <si>
    <t>ary Mu</t>
  </si>
  <si>
    <t>ua Owe</t>
  </si>
  <si>
    <t xml:space="preserve"> Mitch</t>
  </si>
  <si>
    <t>na Dun</t>
  </si>
  <si>
    <t>st Col</t>
  </si>
  <si>
    <t>ah San</t>
  </si>
  <si>
    <t>n Bowm</t>
  </si>
  <si>
    <t>y Moor</t>
  </si>
  <si>
    <t>ph Woo</t>
  </si>
  <si>
    <t>ael Ha</t>
  </si>
  <si>
    <t>ie Mcc</t>
  </si>
  <si>
    <t>hew Ba</t>
  </si>
  <si>
    <t>elle N</t>
  </si>
  <si>
    <t>en Moo</t>
  </si>
  <si>
    <t>n Huds</t>
  </si>
  <si>
    <t>y Whit</t>
  </si>
  <si>
    <t>lie Di</t>
  </si>
  <si>
    <t>Jones</t>
  </si>
  <si>
    <t>n Phil</t>
  </si>
  <si>
    <t xml:space="preserve"> Walsh</t>
  </si>
  <si>
    <t>l Schn</t>
  </si>
  <si>
    <t xml:space="preserve"> Hines</t>
  </si>
  <si>
    <t>ha Swe</t>
  </si>
  <si>
    <t>n Weav</t>
  </si>
  <si>
    <t>el Lop</t>
  </si>
  <si>
    <t xml:space="preserve"> Simps</t>
  </si>
  <si>
    <t>ina Sc</t>
  </si>
  <si>
    <t>n Brad</t>
  </si>
  <si>
    <t>n Brig</t>
  </si>
  <si>
    <t>d Grif</t>
  </si>
  <si>
    <t>ael Cl</t>
  </si>
  <si>
    <t>cca Ba</t>
  </si>
  <si>
    <t xml:space="preserve"> Turne</t>
  </si>
  <si>
    <t>e Hale</t>
  </si>
  <si>
    <t>y Grim</t>
  </si>
  <si>
    <t>d Cher</t>
  </si>
  <si>
    <t>is Bra</t>
  </si>
  <si>
    <t>na Pal</t>
  </si>
  <si>
    <t>ley Ga</t>
  </si>
  <si>
    <t>l Ford</t>
  </si>
  <si>
    <t>s Gonz</t>
  </si>
  <si>
    <t xml:space="preserve"> Casti</t>
  </si>
  <si>
    <t>Hayes</t>
  </si>
  <si>
    <t>ica Ch</t>
  </si>
  <si>
    <t xml:space="preserve"> Gray</t>
  </si>
  <si>
    <t>e Book</t>
  </si>
  <si>
    <t xml:space="preserve"> Hall</t>
  </si>
  <si>
    <t>ld Mun</t>
  </si>
  <si>
    <t>ra Ali</t>
  </si>
  <si>
    <t>ica Ga</t>
  </si>
  <si>
    <t>ory Wa</t>
  </si>
  <si>
    <t>y Adam</t>
  </si>
  <si>
    <t>n Brow</t>
  </si>
  <si>
    <t>ory Br</t>
  </si>
  <si>
    <t>Scott Alexander Md</t>
  </si>
  <si>
    <t>t Alex</t>
  </si>
  <si>
    <t xml:space="preserve"> Nguye</t>
  </si>
  <si>
    <t>y Boye</t>
  </si>
  <si>
    <t xml:space="preserve"> Clark</t>
  </si>
  <si>
    <t xml:space="preserve"> Kline</t>
  </si>
  <si>
    <t>a Will</t>
  </si>
  <si>
    <t>n Edwa</t>
  </si>
  <si>
    <t>son Mc</t>
  </si>
  <si>
    <t>ree Wi</t>
  </si>
  <si>
    <t xml:space="preserve"> Taylo</t>
  </si>
  <si>
    <t xml:space="preserve"> Jimen</t>
  </si>
  <si>
    <t>ony Kr</t>
  </si>
  <si>
    <t>e Dean</t>
  </si>
  <si>
    <t>rt Mck</t>
  </si>
  <si>
    <t>ie Le</t>
  </si>
  <si>
    <t>en Hen</t>
  </si>
  <si>
    <t>ard Sm</t>
  </si>
  <si>
    <t xml:space="preserve"> White</t>
  </si>
  <si>
    <t>ert Mc</t>
  </si>
  <si>
    <t>n Hick</t>
  </si>
  <si>
    <t xml:space="preserve"> Patte</t>
  </si>
  <si>
    <t>n Long</t>
  </si>
  <si>
    <t>y Gome</t>
  </si>
  <si>
    <t>a Raym</t>
  </si>
  <si>
    <t>ica Ar</t>
  </si>
  <si>
    <t>da Mar</t>
  </si>
  <si>
    <t xml:space="preserve"> Hamil</t>
  </si>
  <si>
    <t>her Cu</t>
  </si>
  <si>
    <t>any Mo</t>
  </si>
  <si>
    <t>s Camp</t>
  </si>
  <si>
    <t>ssa Va</t>
  </si>
  <si>
    <t xml:space="preserve"> Clay</t>
  </si>
  <si>
    <t>Combs</t>
  </si>
  <si>
    <t>ony Ca</t>
  </si>
  <si>
    <t>erly B</t>
  </si>
  <si>
    <t>ua Hol</t>
  </si>
  <si>
    <t>hia Wa</t>
  </si>
  <si>
    <t>n Delg</t>
  </si>
  <si>
    <t>my Smi</t>
  </si>
  <si>
    <t xml:space="preserve"> Ortiz</t>
  </si>
  <si>
    <t>elle G</t>
  </si>
  <si>
    <t>nie Ga</t>
  </si>
  <si>
    <t>tany L</t>
  </si>
  <si>
    <t xml:space="preserve"> Herna</t>
  </si>
  <si>
    <t>than J</t>
  </si>
  <si>
    <t>y Laws</t>
  </si>
  <si>
    <t>h Smit</t>
  </si>
  <si>
    <t>ne Par</t>
  </si>
  <si>
    <t xml:space="preserve"> Gilmo</t>
  </si>
  <si>
    <t xml:space="preserve"> Lopez</t>
  </si>
  <si>
    <t xml:space="preserve"> Rice</t>
  </si>
  <si>
    <t xml:space="preserve"> Young</t>
  </si>
  <si>
    <t xml:space="preserve"> Powel</t>
  </si>
  <si>
    <t>da Fow</t>
  </si>
  <si>
    <t>say Ri</t>
  </si>
  <si>
    <t xml:space="preserve"> Ward</t>
  </si>
  <si>
    <t>da Smi</t>
  </si>
  <si>
    <t>ne Car</t>
  </si>
  <si>
    <t>Rhonda</t>
  </si>
  <si>
    <t>dy Bar</t>
  </si>
  <si>
    <t>ell Ca</t>
  </si>
  <si>
    <t>ard Hi</t>
  </si>
  <si>
    <t>say Po</t>
  </si>
  <si>
    <t>n Hint</t>
  </si>
  <si>
    <t>n Holl</t>
  </si>
  <si>
    <t xml:space="preserve"> Stone</t>
  </si>
  <si>
    <t>is Lam</t>
  </si>
  <si>
    <t>ua Bus</t>
  </si>
  <si>
    <t>iam Ha</t>
  </si>
  <si>
    <t>ael Mc</t>
  </si>
  <si>
    <t>ael Wa</t>
  </si>
  <si>
    <t xml:space="preserve"> Perez</t>
  </si>
  <si>
    <t>say Le</t>
  </si>
  <si>
    <t>t Long</t>
  </si>
  <si>
    <t>a Ferg</t>
  </si>
  <si>
    <t>ph Mil</t>
  </si>
  <si>
    <t>a Reid</t>
  </si>
  <si>
    <t>n Bail</t>
  </si>
  <si>
    <t xml:space="preserve"> Hinto</t>
  </si>
  <si>
    <t>n Orti</t>
  </si>
  <si>
    <t xml:space="preserve"> Griff</t>
  </si>
  <si>
    <t>el Rob</t>
  </si>
  <si>
    <t xml:space="preserve"> Hayne</t>
  </si>
  <si>
    <t>y Scot</t>
  </si>
  <si>
    <t>d Brow</t>
  </si>
  <si>
    <t>nald S</t>
  </si>
  <si>
    <t>in Jon</t>
  </si>
  <si>
    <t>tine G</t>
  </si>
  <si>
    <t xml:space="preserve"> Flemi</t>
  </si>
  <si>
    <t>Wilson</t>
  </si>
  <si>
    <t>n John</t>
  </si>
  <si>
    <t>ine La</t>
  </si>
  <si>
    <t xml:space="preserve"> Soto</t>
  </si>
  <si>
    <t>n Serr</t>
  </si>
  <si>
    <t>na Mil</t>
  </si>
  <si>
    <t>rly Ro</t>
  </si>
  <si>
    <t>her Sa</t>
  </si>
  <si>
    <t>olas G</t>
  </si>
  <si>
    <t>en Flo</t>
  </si>
  <si>
    <t>Marvin Woods Iii</t>
  </si>
  <si>
    <t>in Woo</t>
  </si>
  <si>
    <t>n Zamo</t>
  </si>
  <si>
    <t>y Robe</t>
  </si>
  <si>
    <t>y Pric</t>
  </si>
  <si>
    <t>y Elli</t>
  </si>
  <si>
    <t>b Guer</t>
  </si>
  <si>
    <t>ntha N</t>
  </si>
  <si>
    <t>h Clar</t>
  </si>
  <si>
    <t>n Blai</t>
  </si>
  <si>
    <t>tney B</t>
  </si>
  <si>
    <t>ld Tay</t>
  </si>
  <si>
    <t>Mrs. Lisa Beard Dvm</t>
  </si>
  <si>
    <t xml:space="preserve"> Lisa </t>
  </si>
  <si>
    <t>y Wall</t>
  </si>
  <si>
    <t>miah T</t>
  </si>
  <si>
    <t>Mrs. Jessica Williams Dvm</t>
  </si>
  <si>
    <t xml:space="preserve"> Jessi</t>
  </si>
  <si>
    <t>in Mor</t>
  </si>
  <si>
    <t>nda Pr</t>
  </si>
  <si>
    <t>n Turn</t>
  </si>
  <si>
    <t xml:space="preserve"> Huff</t>
  </si>
  <si>
    <t xml:space="preserve"> Mckin</t>
  </si>
  <si>
    <t>sey Wa</t>
  </si>
  <si>
    <t>aret S</t>
  </si>
  <si>
    <t xml:space="preserve"> Ray</t>
  </si>
  <si>
    <t>c Hebe</t>
  </si>
  <si>
    <t>ele Jo</t>
  </si>
  <si>
    <t>in All</t>
  </si>
  <si>
    <t>y Cast</t>
  </si>
  <si>
    <t>d Arms</t>
  </si>
  <si>
    <t>y Mitc</t>
  </si>
  <si>
    <t>ony He</t>
  </si>
  <si>
    <t>all Ba</t>
  </si>
  <si>
    <t>an Huf</t>
  </si>
  <si>
    <t>n Wals</t>
  </si>
  <si>
    <t>ne Rob</t>
  </si>
  <si>
    <t>leen H</t>
  </si>
  <si>
    <t>ifer B</t>
  </si>
  <si>
    <t>Martin</t>
  </si>
  <si>
    <t>ew Lit</t>
  </si>
  <si>
    <t>y Shel</t>
  </si>
  <si>
    <t>en Dun</t>
  </si>
  <si>
    <t>ten Ha</t>
  </si>
  <si>
    <t>y Rees</t>
  </si>
  <si>
    <t>en Mur</t>
  </si>
  <si>
    <t>a Hale</t>
  </si>
  <si>
    <t>icia R</t>
  </si>
  <si>
    <t>lyn Lo</t>
  </si>
  <si>
    <t xml:space="preserve"> Burns</t>
  </si>
  <si>
    <t>aret G</t>
  </si>
  <si>
    <t>tany B</t>
  </si>
  <si>
    <t xml:space="preserve"> Campb</t>
  </si>
  <si>
    <t>Morrow</t>
  </si>
  <si>
    <t>Fitzge</t>
  </si>
  <si>
    <t>a Beck</t>
  </si>
  <si>
    <t xml:space="preserve"> Amy B</t>
  </si>
  <si>
    <t xml:space="preserve"> Marsh</t>
  </si>
  <si>
    <t>as You</t>
  </si>
  <si>
    <t>ary La</t>
  </si>
  <si>
    <t>rie Gu</t>
  </si>
  <si>
    <t>el Par</t>
  </si>
  <si>
    <t>le Ben</t>
  </si>
  <si>
    <t>en Low</t>
  </si>
  <si>
    <t>ony Wa</t>
  </si>
  <si>
    <t>rie Fi</t>
  </si>
  <si>
    <t>rah Ke</t>
  </si>
  <si>
    <t>tina M</t>
  </si>
  <si>
    <t xml:space="preserve"> Hampt</t>
  </si>
  <si>
    <t>ra Hen</t>
  </si>
  <si>
    <t xml:space="preserve"> Heste</t>
  </si>
  <si>
    <t>an Dav</t>
  </si>
  <si>
    <t>a Jack</t>
  </si>
  <si>
    <t>y Glov</t>
  </si>
  <si>
    <t>ard Sa</t>
  </si>
  <si>
    <t>nnah R</t>
  </si>
  <si>
    <t>rt Sal</t>
  </si>
  <si>
    <t>or Gre</t>
  </si>
  <si>
    <t>as Jac</t>
  </si>
  <si>
    <t>her Br</t>
  </si>
  <si>
    <t xml:space="preserve"> Weave</t>
  </si>
  <si>
    <t>ley Ha</t>
  </si>
  <si>
    <t>hew Wh</t>
  </si>
  <si>
    <t xml:space="preserve"> Kimbe</t>
  </si>
  <si>
    <t>a Thom</t>
  </si>
  <si>
    <t>an Sot</t>
  </si>
  <si>
    <t>da Hin</t>
  </si>
  <si>
    <t xml:space="preserve">ielle </t>
  </si>
  <si>
    <t>an Edw</t>
  </si>
  <si>
    <t>olas S</t>
  </si>
  <si>
    <t>el Gre</t>
  </si>
  <si>
    <t>da Koc</t>
  </si>
  <si>
    <t>Robert</t>
  </si>
  <si>
    <t>ya Bro</t>
  </si>
  <si>
    <t>David Osborne Iii</t>
  </si>
  <si>
    <t>d Osbo</t>
  </si>
  <si>
    <t>d Hoop</t>
  </si>
  <si>
    <t>h Mill</t>
  </si>
  <si>
    <t>Lisa Werner Md</t>
  </si>
  <si>
    <t xml:space="preserve"> Werne</t>
  </si>
  <si>
    <t>Bush</t>
  </si>
  <si>
    <t>ny Ric</t>
  </si>
  <si>
    <t xml:space="preserve"> Chand</t>
  </si>
  <si>
    <t>tal Br</t>
  </si>
  <si>
    <t>thy Ba</t>
  </si>
  <si>
    <t xml:space="preserve"> Hickm</t>
  </si>
  <si>
    <t xml:space="preserve"> Mendo</t>
  </si>
  <si>
    <t>n Sand</t>
  </si>
  <si>
    <t>les De</t>
  </si>
  <si>
    <t>e Newt</t>
  </si>
  <si>
    <t>d Gonz</t>
  </si>
  <si>
    <t>y Will</t>
  </si>
  <si>
    <t>Laura Wong Dds</t>
  </si>
  <si>
    <t>a Wong</t>
  </si>
  <si>
    <t>rt Mor</t>
  </si>
  <si>
    <t>ley Wu</t>
  </si>
  <si>
    <t>el Tho</t>
  </si>
  <si>
    <t>elle P</t>
  </si>
  <si>
    <t xml:space="preserve"> Thoma</t>
  </si>
  <si>
    <t xml:space="preserve"> Ramos</t>
  </si>
  <si>
    <t>elle S</t>
  </si>
  <si>
    <t xml:space="preserve">lotte </t>
  </si>
  <si>
    <t>ra Pre</t>
  </si>
  <si>
    <t>Weiss</t>
  </si>
  <si>
    <t>rt Wil</t>
  </si>
  <si>
    <t>yl Nor</t>
  </si>
  <si>
    <t>y Watk</t>
  </si>
  <si>
    <t xml:space="preserve"> Obrie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</si>
</sst>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Display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12345D-62DE-460F-9AAA-4559ED3D1245}" autoFormatId="16" applyNumberFormats="0" applyBorderFormats="0" applyFontFormats="0" applyPatternFormats="0" applyAlignmentFormats="0" applyWidthHeightFormats="0">
  <queryTableRefresh nextId="23">
    <queryTableFields count="22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2" dataBound="0" tableColumnId="22"/>
      <queryTableField id="21" name="Column21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F2673-20F1-4B5F-9DFC-227AA55E885C}" name="global_freelancer_raw" displayName="global_freelancer_raw" ref="A1:V1003" tableType="queryTable" totalsRowShown="0">
  <autoFilter ref="A1:V1003" xr:uid="{D34F2673-20F1-4B5F-9DFC-227AA55E885C}"/>
  <tableColumns count="22">
    <tableColumn id="1" xr3:uid="{72499316-C7C1-4408-8694-88456C172003}" uniqueName="1" name="A" queryTableFieldId="1" dataDxfId="18"/>
    <tableColumn id="2" xr3:uid="{CABB7826-7C4D-41F6-B0B7-EB9A08EAE70F}" uniqueName="2" name="name" queryTableFieldId="2" dataDxfId="17"/>
    <tableColumn id="3" xr3:uid="{1397656D-EBF2-4472-94DE-81EB7A561FC0}" uniqueName="3" name="gender" queryTableFieldId="3" dataDxfId="16"/>
    <tableColumn id="4" xr3:uid="{D85B5D3F-F96D-4565-8B18-42EE6D84723E}" uniqueName="4" name="age" queryTableFieldId="4"/>
    <tableColumn id="5" xr3:uid="{5B3FD086-3749-4A7F-BBDE-D99441D5B462}" uniqueName="5" name="country" queryTableFieldId="5" dataDxfId="15"/>
    <tableColumn id="6" xr3:uid="{FAD9A488-83A3-4E11-840F-F627F58B3C61}" uniqueName="6" name="language" queryTableFieldId="6" dataDxfId="14"/>
    <tableColumn id="7" xr3:uid="{4A508960-0DB1-43AB-AAF8-E18B79115891}" uniqueName="7" name="primary_skill" queryTableFieldId="7" dataDxfId="13"/>
    <tableColumn id="8" xr3:uid="{FB4F41BE-6C6A-4951-8371-700C2861B15E}" uniqueName="8" name="years_of_experience" queryTableFieldId="8"/>
    <tableColumn id="9" xr3:uid="{85383471-EF01-4BF8-9526-9793C0FB685D}" uniqueName="9" name="hourly_rate (USD)" queryTableFieldId="9"/>
    <tableColumn id="10" xr3:uid="{CBCEB51C-E648-4913-9EEA-875D6F2BFA0D}" uniqueName="10" name="rating" queryTableFieldId="10"/>
    <tableColumn id="11" xr3:uid="{1F43F80D-8F0E-4026-A737-4F5F36E28209}" uniqueName="11" name="is_active" queryTableFieldId="11"/>
    <tableColumn id="12" xr3:uid="{D0A635D8-10A6-430B-8B42-D7C5CBD0673B}" uniqueName="12" name="client_satisfaction" queryTableFieldId="12"/>
    <tableColumn id="13" xr3:uid="{1911E70D-D0C1-41F2-91D9-519C4C739466}" uniqueName="13" name="Notes" queryTableFieldId="13" dataDxfId="12"/>
    <tableColumn id="14" xr3:uid="{E3B4A84F-C655-481B-816A-4CAC75250B5A}" uniqueName="14" name="Status" queryTableFieldId="14" dataDxfId="11"/>
    <tableColumn id="15" xr3:uid="{E2BD425A-BED9-4AB2-BB34-B29CCAF1FDDA}" uniqueName="15" name="no of projects " queryTableFieldId="15"/>
    <tableColumn id="16" xr3:uid="{7CA9787C-2582-4F36-991D-59CA459DA983}" uniqueName="16" name="duration_months" queryTableFieldId="16"/>
    <tableColumn id="17" xr3:uid="{FB3886F4-3200-4CE2-90A0-BB4B728966CA}" uniqueName="17" name="NAME UPPER" queryTableFieldId="17"/>
    <tableColumn id="18" xr3:uid="{68AC1F76-9412-47AC-8585-65541B75769F}" uniqueName="18" name="COUNTRY LOWER " queryTableFieldId="18"/>
    <tableColumn id="19" xr3:uid="{58EF8B18-193A-46B2-9D1C-BFF7FBAEF4AA}" uniqueName="19" name="NAME PROP" queryTableFieldId="19"/>
    <tableColumn id="20" xr3:uid="{0C1087A4-2481-473B-9EB0-0139577CCA91}" uniqueName="20" name="COUNTRY LEFT" queryTableFieldId="20"/>
    <tableColumn id="22" xr3:uid="{871D259A-D087-41DB-AC31-0D6FB045C323}" uniqueName="22" name="NAME MID" queryTableFieldId="22" dataDxfId="10">
      <calculatedColumnFormula>MID(B2,5,6)</calculatedColumnFormula>
    </tableColumn>
    <tableColumn id="21" xr3:uid="{D782F868-99DE-48F6-861A-A35E808D7621}" uniqueName="21" name="ID RIGH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18AB1D-709F-4583-8F2F-1AECC54CF711}" name="Table3" displayName="Table3" ref="A1:F1001" totalsRowShown="0" headerRowDxfId="0" headerRowBorderDxfId="8" tableBorderDxfId="9" totalsRowBorderDxfId="7">
  <autoFilter ref="A1:F1001" xr:uid="{0918AB1D-709F-4583-8F2F-1AECC54CF711}"/>
  <tableColumns count="6">
    <tableColumn id="1" xr3:uid="{48FEA710-8DCE-405E-968F-554B3CB869AB}" name="NAME UPPER" dataDxfId="6"/>
    <tableColumn id="2" xr3:uid="{B5FECF5C-DED7-44FB-8B29-F961B2621736}" name="COUNTRY LOWER " dataDxfId="5"/>
    <tableColumn id="3" xr3:uid="{F2001398-DED8-4413-AB1F-BDBE0E1DC161}" name="NAME PROP" dataDxfId="4"/>
    <tableColumn id="4" xr3:uid="{56402642-EE98-48CD-9DC0-DCCE03092EED}" name="COUNTRY LEFT" dataDxfId="3"/>
    <tableColumn id="5" xr3:uid="{C0934B8F-458E-4B11-A7B5-0BFA5CA153F1}" name="NAME MID" dataDxfId="2"/>
    <tableColumn id="6" xr3:uid="{CDFE8F55-6F76-4A80-A914-73ED634DCFB7}" name="ID RIGHT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5F1D-4A16-4F46-89AB-312AD81A844F}">
  <dimension ref="A1:V1003"/>
  <sheetViews>
    <sheetView topLeftCell="O980" workbookViewId="0">
      <selection activeCell="Q1" sqref="Q1:V1001"/>
    </sheetView>
  </sheetViews>
  <sheetFormatPr defaultRowHeight="14.4" x14ac:dyDescent="0.3"/>
  <cols>
    <col min="1" max="1" width="14.21875" bestFit="1" customWidth="1"/>
    <col min="2" max="2" width="22.44140625" bestFit="1" customWidth="1"/>
    <col min="4" max="4" width="6.109375" bestFit="1" customWidth="1"/>
    <col min="5" max="5" width="10.88671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0.5546875" bestFit="1" customWidth="1"/>
    <col min="12" max="12" width="18.6640625" bestFit="1" customWidth="1"/>
    <col min="14" max="14" width="9.77734375" bestFit="1" customWidth="1"/>
    <col min="15" max="15" width="14.6640625" bestFit="1" customWidth="1"/>
    <col min="16" max="16" width="17.33203125" bestFit="1" customWidth="1"/>
    <col min="17" max="17" width="24.5546875" bestFit="1" customWidth="1"/>
    <col min="18" max="18" width="18.109375" bestFit="1" customWidth="1"/>
    <col min="19" max="19" width="22.21875" bestFit="1" customWidth="1"/>
    <col min="20" max="20" width="15.5546875" bestFit="1" customWidth="1"/>
    <col min="21" max="21" width="15.5546875" customWidth="1"/>
    <col min="22" max="23" width="11.6640625" bestFit="1" customWidth="1"/>
  </cols>
  <sheetData>
    <row r="1" spans="1:22" x14ac:dyDescent="0.3">
      <c r="A1" t="s">
        <v>2086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3081</v>
      </c>
      <c r="R1" t="s">
        <v>3082</v>
      </c>
      <c r="S1" t="s">
        <v>3080</v>
      </c>
      <c r="T1" t="s">
        <v>3079</v>
      </c>
      <c r="U1" t="s">
        <v>3084</v>
      </c>
      <c r="V1" t="s">
        <v>3083</v>
      </c>
    </row>
    <row r="2" spans="1:22" x14ac:dyDescent="0.3">
      <c r="A2" s="1" t="s">
        <v>22</v>
      </c>
      <c r="B2" s="1" t="s">
        <v>15</v>
      </c>
      <c r="C2" s="1" t="s">
        <v>16</v>
      </c>
      <c r="D2">
        <v>52</v>
      </c>
      <c r="E2" s="1" t="s">
        <v>17</v>
      </c>
      <c r="F2" s="1" t="s">
        <v>18</v>
      </c>
      <c r="G2" s="1" t="s">
        <v>19</v>
      </c>
      <c r="H2">
        <v>11</v>
      </c>
      <c r="I2">
        <v>100</v>
      </c>
      <c r="K2">
        <v>0</v>
      </c>
      <c r="M2" s="1" t="s">
        <v>20</v>
      </c>
      <c r="N2" s="1" t="s">
        <v>21</v>
      </c>
      <c r="O2">
        <v>13</v>
      </c>
      <c r="P2">
        <v>6</v>
      </c>
      <c r="Q2" t="s">
        <v>3078</v>
      </c>
      <c r="R2" t="str">
        <f>LOWER(E2)</f>
        <v>italy</v>
      </c>
      <c r="S2" t="str">
        <f>PROPER(global_freelancer_raw[[#This Row],[NAME UPPER]])</f>
        <v>Ms.Nicole Kidd</v>
      </c>
      <c r="T2" t="str">
        <f>LEFT(E2,"2")</f>
        <v>It</v>
      </c>
      <c r="U2" t="str">
        <f t="shared" ref="U2:U65" si="0">MID(B2,5,6)</f>
        <v>Nicole</v>
      </c>
      <c r="V2" t="str">
        <f>RIGHT(A2,"2")</f>
        <v>02</v>
      </c>
    </row>
    <row r="3" spans="1:22" x14ac:dyDescent="0.3">
      <c r="A3" s="1" t="s">
        <v>22</v>
      </c>
      <c r="B3" s="1" t="s">
        <v>23</v>
      </c>
      <c r="C3" s="1" t="s">
        <v>24</v>
      </c>
      <c r="D3">
        <v>52</v>
      </c>
      <c r="E3" s="1" t="s">
        <v>25</v>
      </c>
      <c r="F3" s="1" t="s">
        <v>26</v>
      </c>
      <c r="G3" s="1" t="s">
        <v>27</v>
      </c>
      <c r="H3">
        <v>34</v>
      </c>
      <c r="I3" t="s">
        <v>28</v>
      </c>
      <c r="J3">
        <v>3.3</v>
      </c>
      <c r="K3">
        <v>1</v>
      </c>
      <c r="L3">
        <v>0.84</v>
      </c>
      <c r="M3" s="1" t="s">
        <v>20</v>
      </c>
      <c r="N3" s="1" t="s">
        <v>29</v>
      </c>
      <c r="O3">
        <v>10</v>
      </c>
      <c r="P3">
        <v>7</v>
      </c>
      <c r="Q3" t="str">
        <f t="shared" ref="Q3:Q66" si="1">UPPER(B3)</f>
        <v>VANESSA GARCIA</v>
      </c>
      <c r="R3" t="str">
        <f t="shared" ref="R3:R66" si="2">LOWER(E3)</f>
        <v>australia</v>
      </c>
      <c r="S3" t="str">
        <f>PROPER(global_freelancer_raw[[#This Row],[NAME UPPER]])</f>
        <v>Vanessa Garcia</v>
      </c>
      <c r="T3" t="str">
        <f t="shared" ref="T3:T66" si="3">LEFT(E3,"2")</f>
        <v>Au</v>
      </c>
      <c r="U3" t="str">
        <f t="shared" si="0"/>
        <v>ssa Ga</v>
      </c>
      <c r="V3" t="str">
        <f t="shared" ref="V3:V66" si="4">RIGHT(A3,"2")</f>
        <v>02</v>
      </c>
    </row>
    <row r="4" spans="1:22" x14ac:dyDescent="0.3">
      <c r="A4" s="1" t="s">
        <v>30</v>
      </c>
      <c r="B4" s="1" t="s">
        <v>31</v>
      </c>
      <c r="C4" s="1" t="s">
        <v>32</v>
      </c>
      <c r="D4">
        <v>53</v>
      </c>
      <c r="E4" s="1" t="s">
        <v>33</v>
      </c>
      <c r="F4" s="1" t="s">
        <v>33</v>
      </c>
      <c r="G4" s="1" t="s">
        <v>34</v>
      </c>
      <c r="H4">
        <v>31</v>
      </c>
      <c r="I4">
        <v>50</v>
      </c>
      <c r="J4">
        <v>0</v>
      </c>
      <c r="K4" t="s">
        <v>35</v>
      </c>
      <c r="L4">
        <v>0.71</v>
      </c>
      <c r="M4" s="1" t="s">
        <v>20</v>
      </c>
      <c r="N4" s="1" t="s">
        <v>36</v>
      </c>
      <c r="O4">
        <v>16</v>
      </c>
      <c r="P4">
        <v>16</v>
      </c>
      <c r="Q4" t="str">
        <f t="shared" si="1"/>
        <v>JUAN NELSON</v>
      </c>
      <c r="R4" t="str">
        <f t="shared" si="2"/>
        <v>germany</v>
      </c>
      <c r="S4" t="str">
        <f>PROPER(global_freelancer_raw[[#This Row],[NAME UPPER]])</f>
        <v>Juan Nelson</v>
      </c>
      <c r="T4" t="str">
        <f t="shared" si="3"/>
        <v>Ge</v>
      </c>
      <c r="U4" t="str">
        <f t="shared" si="0"/>
        <v xml:space="preserve"> Nelso</v>
      </c>
      <c r="V4" t="str">
        <f t="shared" si="4"/>
        <v>03</v>
      </c>
    </row>
    <row r="5" spans="1:22" x14ac:dyDescent="0.3">
      <c r="A5" s="1" t="s">
        <v>37</v>
      </c>
      <c r="B5" s="1" t="s">
        <v>38</v>
      </c>
      <c r="C5" s="1" t="s">
        <v>39</v>
      </c>
      <c r="D5">
        <v>38</v>
      </c>
      <c r="E5" s="1" t="s">
        <v>25</v>
      </c>
      <c r="F5" s="1" t="s">
        <v>26</v>
      </c>
      <c r="G5" s="1" t="s">
        <v>40</v>
      </c>
      <c r="H5">
        <v>4</v>
      </c>
      <c r="I5" t="s">
        <v>41</v>
      </c>
      <c r="J5">
        <v>1.5</v>
      </c>
      <c r="K5" t="s">
        <v>35</v>
      </c>
      <c r="L5">
        <v>0.9</v>
      </c>
      <c r="M5" s="1" t="s">
        <v>20</v>
      </c>
      <c r="N5" s="1" t="s">
        <v>29</v>
      </c>
      <c r="O5">
        <v>5</v>
      </c>
      <c r="P5">
        <v>1</v>
      </c>
      <c r="Q5" t="str">
        <f t="shared" si="1"/>
        <v>AMANDA SPENCER</v>
      </c>
      <c r="R5" t="str">
        <f t="shared" si="2"/>
        <v>australia</v>
      </c>
      <c r="S5" t="str">
        <f>PROPER(global_freelancer_raw[[#This Row],[NAME UPPER]])</f>
        <v>Amanda Spencer</v>
      </c>
      <c r="T5" t="str">
        <f t="shared" si="3"/>
        <v>Au</v>
      </c>
      <c r="U5" t="str">
        <f t="shared" si="0"/>
        <v>da Spe</v>
      </c>
      <c r="V5" t="str">
        <f t="shared" si="4"/>
        <v>04</v>
      </c>
    </row>
    <row r="6" spans="1:22" x14ac:dyDescent="0.3">
      <c r="A6" s="1" t="s">
        <v>42</v>
      </c>
      <c r="B6" s="1" t="s">
        <v>43</v>
      </c>
      <c r="C6" s="1" t="s">
        <v>44</v>
      </c>
      <c r="D6">
        <v>53</v>
      </c>
      <c r="E6" s="1" t="s">
        <v>33</v>
      </c>
      <c r="F6" s="1" t="s">
        <v>33</v>
      </c>
      <c r="G6" s="1"/>
      <c r="H6">
        <v>27</v>
      </c>
      <c r="I6">
        <v>30</v>
      </c>
      <c r="J6">
        <v>4.8</v>
      </c>
      <c r="K6">
        <v>0</v>
      </c>
      <c r="L6">
        <v>0.83</v>
      </c>
      <c r="M6" s="1" t="s">
        <v>20</v>
      </c>
      <c r="N6" s="1" t="s">
        <v>21</v>
      </c>
      <c r="O6">
        <v>13</v>
      </c>
      <c r="P6">
        <v>3</v>
      </c>
      <c r="Q6" t="str">
        <f t="shared" si="1"/>
        <v>LYNN CURTIS DDS</v>
      </c>
      <c r="R6" t="str">
        <f t="shared" si="2"/>
        <v>germany</v>
      </c>
      <c r="S6" t="str">
        <f>PROPER(global_freelancer_raw[[#This Row],[NAME UPPER]])</f>
        <v>Lynn Curtis Dds</v>
      </c>
      <c r="T6" t="str">
        <f t="shared" si="3"/>
        <v>Ge</v>
      </c>
      <c r="U6" t="str">
        <f t="shared" si="0"/>
        <v xml:space="preserve"> Curti</v>
      </c>
      <c r="V6" t="str">
        <f t="shared" si="4"/>
        <v>05</v>
      </c>
    </row>
    <row r="7" spans="1:22" x14ac:dyDescent="0.3">
      <c r="A7" s="1" t="s">
        <v>45</v>
      </c>
      <c r="B7" s="1" t="s">
        <v>46</v>
      </c>
      <c r="C7" s="1" t="s">
        <v>44</v>
      </c>
      <c r="D7">
        <v>59</v>
      </c>
      <c r="E7" s="1" t="s">
        <v>47</v>
      </c>
      <c r="F7" s="1" t="s">
        <v>48</v>
      </c>
      <c r="G7" s="1" t="s">
        <v>49</v>
      </c>
      <c r="H7">
        <v>14</v>
      </c>
      <c r="I7" t="s">
        <v>50</v>
      </c>
      <c r="J7">
        <v>2.4</v>
      </c>
      <c r="K7" t="b">
        <v>0</v>
      </c>
      <c r="M7" s="1" t="s">
        <v>51</v>
      </c>
      <c r="N7" s="1" t="s">
        <v>36</v>
      </c>
      <c r="O7">
        <v>8</v>
      </c>
      <c r="P7">
        <v>3</v>
      </c>
      <c r="Q7" t="str">
        <f t="shared" si="1"/>
        <v>LISA JOHNSON</v>
      </c>
      <c r="R7" t="str">
        <f t="shared" si="2"/>
        <v>netherlands</v>
      </c>
      <c r="S7" t="str">
        <f>PROPER(global_freelancer_raw[[#This Row],[NAME UPPER]])</f>
        <v>Lisa Johnson</v>
      </c>
      <c r="T7" t="str">
        <f t="shared" si="3"/>
        <v>Ne</v>
      </c>
      <c r="U7" t="str">
        <f t="shared" si="0"/>
        <v xml:space="preserve"> Johns</v>
      </c>
      <c r="V7" t="str">
        <f t="shared" si="4"/>
        <v>06</v>
      </c>
    </row>
    <row r="8" spans="1:22" x14ac:dyDescent="0.3">
      <c r="A8" s="1" t="s">
        <v>52</v>
      </c>
      <c r="B8" s="1" t="s">
        <v>53</v>
      </c>
      <c r="C8" s="1" t="s">
        <v>54</v>
      </c>
      <c r="D8">
        <v>52</v>
      </c>
      <c r="E8" s="1" t="s">
        <v>55</v>
      </c>
      <c r="F8" s="1" t="s">
        <v>56</v>
      </c>
      <c r="G8" s="1" t="s">
        <v>57</v>
      </c>
      <c r="H8">
        <v>10</v>
      </c>
      <c r="I8" t="s">
        <v>58</v>
      </c>
      <c r="J8">
        <v>3.1</v>
      </c>
      <c r="K8">
        <v>0</v>
      </c>
      <c r="L8">
        <v>0.94</v>
      </c>
      <c r="M8" s="1" t="s">
        <v>20</v>
      </c>
      <c r="N8" s="1" t="s">
        <v>21</v>
      </c>
      <c r="O8">
        <v>10</v>
      </c>
      <c r="P8">
        <v>3</v>
      </c>
      <c r="Q8" t="str">
        <f t="shared" si="1"/>
        <v>ERIC MYERS</v>
      </c>
      <c r="R8" t="str">
        <f t="shared" si="2"/>
        <v>indonesia</v>
      </c>
      <c r="S8" t="str">
        <f>PROPER(global_freelancer_raw[[#This Row],[NAME UPPER]])</f>
        <v>Eric Myers</v>
      </c>
      <c r="T8" t="str">
        <f t="shared" si="3"/>
        <v>In</v>
      </c>
      <c r="U8" t="str">
        <f t="shared" si="0"/>
        <v xml:space="preserve"> Myers</v>
      </c>
      <c r="V8" t="str">
        <f t="shared" si="4"/>
        <v>07</v>
      </c>
    </row>
    <row r="9" spans="1:22" x14ac:dyDescent="0.3">
      <c r="A9" s="1" t="s">
        <v>59</v>
      </c>
      <c r="B9" s="1" t="s">
        <v>60</v>
      </c>
      <c r="C9" s="1" t="s">
        <v>32</v>
      </c>
      <c r="D9">
        <v>43</v>
      </c>
      <c r="E9" s="1" t="s">
        <v>17</v>
      </c>
      <c r="F9" s="1" t="s">
        <v>18</v>
      </c>
      <c r="G9" s="1" t="s">
        <v>19</v>
      </c>
      <c r="H9">
        <v>14</v>
      </c>
      <c r="I9" t="s">
        <v>61</v>
      </c>
      <c r="J9">
        <v>4.5999999999999996</v>
      </c>
      <c r="K9" t="b">
        <v>0</v>
      </c>
      <c r="L9">
        <v>0.94</v>
      </c>
      <c r="M9" s="1" t="s">
        <v>51</v>
      </c>
      <c r="N9" s="1" t="s">
        <v>21</v>
      </c>
      <c r="O9">
        <v>7</v>
      </c>
      <c r="P9">
        <v>10</v>
      </c>
      <c r="Q9" t="str">
        <f t="shared" si="1"/>
        <v>RICKY GRAHAM</v>
      </c>
      <c r="R9" t="str">
        <f t="shared" si="2"/>
        <v>italy</v>
      </c>
      <c r="S9" t="str">
        <f>PROPER(global_freelancer_raw[[#This Row],[NAME UPPER]])</f>
        <v>Ricky Graham</v>
      </c>
      <c r="T9" t="str">
        <f t="shared" si="3"/>
        <v>It</v>
      </c>
      <c r="U9" t="str">
        <f t="shared" si="0"/>
        <v>y Grah</v>
      </c>
      <c r="V9" t="str">
        <f t="shared" si="4"/>
        <v>08</v>
      </c>
    </row>
    <row r="10" spans="1:22" x14ac:dyDescent="0.3">
      <c r="A10" s="1" t="s">
        <v>62</v>
      </c>
      <c r="B10" s="1" t="s">
        <v>63</v>
      </c>
      <c r="C10" s="1" t="s">
        <v>32</v>
      </c>
      <c r="D10">
        <v>26</v>
      </c>
      <c r="E10" s="1" t="s">
        <v>64</v>
      </c>
      <c r="F10" s="1" t="s">
        <v>26</v>
      </c>
      <c r="G10" s="1" t="s">
        <v>19</v>
      </c>
      <c r="H10">
        <v>4</v>
      </c>
      <c r="J10">
        <v>4</v>
      </c>
      <c r="K10" t="b">
        <v>1</v>
      </c>
      <c r="L10">
        <v>0.76</v>
      </c>
      <c r="M10" s="1" t="s">
        <v>20</v>
      </c>
      <c r="N10" s="1" t="s">
        <v>65</v>
      </c>
      <c r="O10">
        <v>2</v>
      </c>
      <c r="P10">
        <v>4</v>
      </c>
      <c r="Q10" t="str">
        <f t="shared" si="1"/>
        <v>SEAN MARTIN</v>
      </c>
      <c r="R10" t="str">
        <f t="shared" si="2"/>
        <v>us</v>
      </c>
      <c r="S10" t="str">
        <f>PROPER(global_freelancer_raw[[#This Row],[NAME UPPER]])</f>
        <v>Sean Martin</v>
      </c>
      <c r="T10" t="str">
        <f t="shared" si="3"/>
        <v>US</v>
      </c>
      <c r="U10" t="str">
        <f t="shared" si="0"/>
        <v xml:space="preserve"> Marti</v>
      </c>
      <c r="V10" t="str">
        <f t="shared" si="4"/>
        <v>09</v>
      </c>
    </row>
    <row r="11" spans="1:22" x14ac:dyDescent="0.3">
      <c r="A11" s="1" t="s">
        <v>66</v>
      </c>
      <c r="B11" s="1" t="s">
        <v>67</v>
      </c>
      <c r="C11" s="1" t="s">
        <v>68</v>
      </c>
      <c r="D11">
        <v>52</v>
      </c>
      <c r="E11" s="1" t="s">
        <v>69</v>
      </c>
      <c r="F11" s="1" t="s">
        <v>70</v>
      </c>
      <c r="G11" s="1" t="s">
        <v>49</v>
      </c>
      <c r="H11">
        <v>22</v>
      </c>
      <c r="I11" t="s">
        <v>71</v>
      </c>
      <c r="K11">
        <v>1</v>
      </c>
      <c r="M11" s="1" t="s">
        <v>72</v>
      </c>
      <c r="N11" s="1" t="s">
        <v>36</v>
      </c>
      <c r="O11">
        <v>16</v>
      </c>
      <c r="P11">
        <v>5</v>
      </c>
      <c r="Q11" t="str">
        <f t="shared" si="1"/>
        <v>MATTHEW LLOYD</v>
      </c>
      <c r="R11" t="str">
        <f t="shared" si="2"/>
        <v>turkey</v>
      </c>
      <c r="S11" t="str">
        <f>PROPER(global_freelancer_raw[[#This Row],[NAME UPPER]])</f>
        <v>Matthew Lloyd</v>
      </c>
      <c r="T11" t="str">
        <f t="shared" si="3"/>
        <v>Tu</v>
      </c>
      <c r="U11" t="str">
        <f t="shared" si="0"/>
        <v>hew Ll</v>
      </c>
      <c r="V11" t="str">
        <f t="shared" si="4"/>
        <v>10</v>
      </c>
    </row>
    <row r="12" spans="1:22" x14ac:dyDescent="0.3">
      <c r="A12" s="1" t="s">
        <v>73</v>
      </c>
      <c r="B12" s="1" t="s">
        <v>74</v>
      </c>
      <c r="C12" s="1" t="s">
        <v>54</v>
      </c>
      <c r="D12">
        <v>40</v>
      </c>
      <c r="E12" s="1" t="s">
        <v>75</v>
      </c>
      <c r="F12" s="1" t="s">
        <v>26</v>
      </c>
      <c r="G12" s="1" t="s">
        <v>57</v>
      </c>
      <c r="H12">
        <v>17</v>
      </c>
      <c r="I12">
        <v>40</v>
      </c>
      <c r="J12">
        <v>3.6</v>
      </c>
      <c r="K12" t="s">
        <v>76</v>
      </c>
      <c r="L12">
        <v>0.77</v>
      </c>
      <c r="M12" s="1" t="s">
        <v>77</v>
      </c>
      <c r="N12" s="1" t="s">
        <v>65</v>
      </c>
      <c r="O12">
        <v>20</v>
      </c>
      <c r="P12">
        <v>5</v>
      </c>
      <c r="Q12" t="str">
        <f t="shared" si="1"/>
        <v>GAVIN RANDALL</v>
      </c>
      <c r="R12" t="str">
        <f t="shared" si="2"/>
        <v>uk</v>
      </c>
      <c r="S12" t="str">
        <f>PROPER(global_freelancer_raw[[#This Row],[NAME UPPER]])</f>
        <v>Gavin Randall</v>
      </c>
      <c r="T12" t="str">
        <f t="shared" si="3"/>
        <v>UK</v>
      </c>
      <c r="U12" t="str">
        <f t="shared" si="0"/>
        <v>n Rand</v>
      </c>
      <c r="V12" t="str">
        <f t="shared" si="4"/>
        <v>11</v>
      </c>
    </row>
    <row r="13" spans="1:22" x14ac:dyDescent="0.3">
      <c r="A13" s="1" t="s">
        <v>78</v>
      </c>
      <c r="B13" s="1" t="s">
        <v>79</v>
      </c>
      <c r="C13" s="1" t="s">
        <v>24</v>
      </c>
      <c r="D13">
        <v>55</v>
      </c>
      <c r="E13" s="1" t="s">
        <v>80</v>
      </c>
      <c r="F13" s="1" t="s">
        <v>81</v>
      </c>
      <c r="G13" s="1" t="s">
        <v>82</v>
      </c>
      <c r="H13">
        <v>15</v>
      </c>
      <c r="K13" t="s">
        <v>83</v>
      </c>
      <c r="L13">
        <v>0.86</v>
      </c>
      <c r="M13" s="1" t="s">
        <v>51</v>
      </c>
      <c r="N13" s="1" t="s">
        <v>36</v>
      </c>
      <c r="O13">
        <v>13</v>
      </c>
      <c r="P13">
        <v>4</v>
      </c>
      <c r="Q13" t="str">
        <f t="shared" si="1"/>
        <v>MICHELLE CURTIS</v>
      </c>
      <c r="R13" t="str">
        <f t="shared" si="2"/>
        <v>argentina</v>
      </c>
      <c r="S13" t="str">
        <f>PROPER(global_freelancer_raw[[#This Row],[NAME UPPER]])</f>
        <v>Michelle Curtis</v>
      </c>
      <c r="T13" t="str">
        <f t="shared" si="3"/>
        <v>Ar</v>
      </c>
      <c r="U13" t="str">
        <f t="shared" si="0"/>
        <v>elle C</v>
      </c>
      <c r="V13" t="str">
        <f t="shared" si="4"/>
        <v>12</v>
      </c>
    </row>
    <row r="14" spans="1:22" x14ac:dyDescent="0.3">
      <c r="A14" s="1" t="s">
        <v>84</v>
      </c>
      <c r="B14" s="1" t="s">
        <v>85</v>
      </c>
      <c r="C14" s="1" t="s">
        <v>86</v>
      </c>
      <c r="D14">
        <v>57</v>
      </c>
      <c r="E14" s="1" t="s">
        <v>75</v>
      </c>
      <c r="F14" s="1" t="s">
        <v>26</v>
      </c>
      <c r="G14" s="1" t="s">
        <v>87</v>
      </c>
      <c r="H14">
        <v>18</v>
      </c>
      <c r="J14">
        <v>2</v>
      </c>
      <c r="K14">
        <v>0</v>
      </c>
      <c r="L14">
        <v>0.86</v>
      </c>
      <c r="M14" s="1" t="s">
        <v>20</v>
      </c>
      <c r="N14" s="1" t="s">
        <v>21</v>
      </c>
      <c r="O14">
        <v>16</v>
      </c>
      <c r="P14">
        <v>15</v>
      </c>
      <c r="Q14" t="str">
        <f t="shared" si="1"/>
        <v>ALICE SCHNEIDER</v>
      </c>
      <c r="R14" t="str">
        <f t="shared" si="2"/>
        <v>uk</v>
      </c>
      <c r="S14" t="str">
        <f>PROPER(global_freelancer_raw[[#This Row],[NAME UPPER]])</f>
        <v>Alice Schneider</v>
      </c>
      <c r="T14" t="str">
        <f t="shared" si="3"/>
        <v>UK</v>
      </c>
      <c r="U14" t="str">
        <f t="shared" si="0"/>
        <v>e Schn</v>
      </c>
      <c r="V14" t="str">
        <f t="shared" si="4"/>
        <v>13</v>
      </c>
    </row>
    <row r="15" spans="1:22" x14ac:dyDescent="0.3">
      <c r="A15" s="1" t="s">
        <v>88</v>
      </c>
      <c r="B15" s="1" t="s">
        <v>89</v>
      </c>
      <c r="C15" s="1" t="s">
        <v>68</v>
      </c>
      <c r="D15">
        <v>38</v>
      </c>
      <c r="E15" s="1"/>
      <c r="F15" s="1" t="s">
        <v>81</v>
      </c>
      <c r="G15" s="1" t="s">
        <v>34</v>
      </c>
      <c r="H15">
        <v>20</v>
      </c>
      <c r="I15" t="s">
        <v>58</v>
      </c>
      <c r="J15">
        <v>2.9</v>
      </c>
      <c r="K15">
        <v>1</v>
      </c>
      <c r="L15">
        <v>0.93</v>
      </c>
      <c r="M15" s="1" t="s">
        <v>72</v>
      </c>
      <c r="N15" s="1" t="s">
        <v>21</v>
      </c>
      <c r="O15">
        <v>17</v>
      </c>
      <c r="P15">
        <v>12</v>
      </c>
      <c r="Q15" t="str">
        <f t="shared" si="1"/>
        <v>PHILLIP SHELTON</v>
      </c>
      <c r="R15" t="str">
        <f t="shared" si="2"/>
        <v/>
      </c>
      <c r="S15" t="str">
        <f>PROPER(global_freelancer_raw[[#This Row],[NAME UPPER]])</f>
        <v>Phillip Shelton</v>
      </c>
      <c r="T15" t="str">
        <f t="shared" si="3"/>
        <v/>
      </c>
      <c r="U15" t="str">
        <f t="shared" si="0"/>
        <v>lip Sh</v>
      </c>
      <c r="V15" t="str">
        <f t="shared" si="4"/>
        <v>14</v>
      </c>
    </row>
    <row r="16" spans="1:22" x14ac:dyDescent="0.3">
      <c r="A16" s="1" t="s">
        <v>90</v>
      </c>
      <c r="B16" s="1" t="s">
        <v>91</v>
      </c>
      <c r="C16" s="1" t="s">
        <v>68</v>
      </c>
      <c r="D16">
        <v>50</v>
      </c>
      <c r="E16" s="1" t="s">
        <v>33</v>
      </c>
      <c r="F16" s="1" t="s">
        <v>33</v>
      </c>
      <c r="G16" s="1" t="s">
        <v>57</v>
      </c>
      <c r="H16">
        <v>22</v>
      </c>
      <c r="I16">
        <v>75</v>
      </c>
      <c r="J16">
        <v>3.7</v>
      </c>
      <c r="K16">
        <v>1</v>
      </c>
      <c r="L16">
        <v>0.7</v>
      </c>
      <c r="M16" s="1" t="s">
        <v>77</v>
      </c>
      <c r="N16" s="1" t="s">
        <v>29</v>
      </c>
      <c r="O16">
        <v>14</v>
      </c>
      <c r="P16">
        <v>6</v>
      </c>
      <c r="Q16" t="str">
        <f t="shared" si="1"/>
        <v>EDWARD FERGUSON</v>
      </c>
      <c r="R16" t="str">
        <f t="shared" si="2"/>
        <v>germany</v>
      </c>
      <c r="S16" t="str">
        <f>PROPER(global_freelancer_raw[[#This Row],[NAME UPPER]])</f>
        <v>Edward Ferguson</v>
      </c>
      <c r="T16" t="str">
        <f t="shared" si="3"/>
        <v>Ge</v>
      </c>
      <c r="U16" t="str">
        <f t="shared" si="0"/>
        <v>rd Fer</v>
      </c>
      <c r="V16" t="str">
        <f t="shared" si="4"/>
        <v>15</v>
      </c>
    </row>
    <row r="17" spans="1:22" x14ac:dyDescent="0.3">
      <c r="A17" s="1" t="s">
        <v>92</v>
      </c>
      <c r="B17" s="1" t="s">
        <v>93</v>
      </c>
      <c r="C17" s="1" t="s">
        <v>54</v>
      </c>
      <c r="D17">
        <v>42</v>
      </c>
      <c r="E17" s="1" t="s">
        <v>94</v>
      </c>
      <c r="F17" s="1" t="s">
        <v>95</v>
      </c>
      <c r="G17" s="1"/>
      <c r="H17">
        <v>0</v>
      </c>
      <c r="I17" t="s">
        <v>50</v>
      </c>
      <c r="J17">
        <v>1.2</v>
      </c>
      <c r="K17">
        <v>0</v>
      </c>
      <c r="L17">
        <v>0.69</v>
      </c>
      <c r="M17" s="1" t="s">
        <v>51</v>
      </c>
      <c r="N17" s="1" t="s">
        <v>36</v>
      </c>
      <c r="O17">
        <v>5</v>
      </c>
      <c r="P17">
        <v>2</v>
      </c>
      <c r="Q17" t="str">
        <f t="shared" si="1"/>
        <v>WYATT STOUT</v>
      </c>
      <c r="R17" t="str">
        <f t="shared" si="2"/>
        <v>japan</v>
      </c>
      <c r="S17" t="str">
        <f>PROPER(global_freelancer_raw[[#This Row],[NAME UPPER]])</f>
        <v>Wyatt Stout</v>
      </c>
      <c r="T17" t="str">
        <f t="shared" si="3"/>
        <v>Ja</v>
      </c>
      <c r="U17" t="str">
        <f t="shared" si="0"/>
        <v>t Stou</v>
      </c>
      <c r="V17" t="str">
        <f t="shared" si="4"/>
        <v>16</v>
      </c>
    </row>
    <row r="18" spans="1:22" x14ac:dyDescent="0.3">
      <c r="A18" s="1" t="s">
        <v>96</v>
      </c>
      <c r="B18" s="1" t="s">
        <v>97</v>
      </c>
      <c r="C18" s="1" t="s">
        <v>86</v>
      </c>
      <c r="D18">
        <v>39</v>
      </c>
      <c r="E18" s="1" t="s">
        <v>25</v>
      </c>
      <c r="F18" s="1" t="s">
        <v>26</v>
      </c>
      <c r="G18" s="1" t="s">
        <v>98</v>
      </c>
      <c r="H18">
        <v>13</v>
      </c>
      <c r="I18" t="s">
        <v>50</v>
      </c>
      <c r="J18">
        <v>2.5</v>
      </c>
      <c r="K18" t="b">
        <v>0</v>
      </c>
      <c r="L18">
        <v>0.6</v>
      </c>
      <c r="M18" s="1" t="s">
        <v>77</v>
      </c>
      <c r="N18" s="1" t="s">
        <v>65</v>
      </c>
      <c r="O18">
        <v>7</v>
      </c>
      <c r="P18">
        <v>1</v>
      </c>
      <c r="Q18" t="str">
        <f t="shared" si="1"/>
        <v>LAURA JOHNSON</v>
      </c>
      <c r="R18" t="str">
        <f t="shared" si="2"/>
        <v>australia</v>
      </c>
      <c r="S18" t="str">
        <f>PROPER(global_freelancer_raw[[#This Row],[NAME UPPER]])</f>
        <v>Laura Johnson</v>
      </c>
      <c r="T18" t="str">
        <f t="shared" si="3"/>
        <v>Au</v>
      </c>
      <c r="U18" t="str">
        <f t="shared" si="0"/>
        <v>a John</v>
      </c>
      <c r="V18" t="str">
        <f t="shared" si="4"/>
        <v>17</v>
      </c>
    </row>
    <row r="19" spans="1:22" x14ac:dyDescent="0.3">
      <c r="A19" s="1" t="s">
        <v>99</v>
      </c>
      <c r="B19" s="1" t="s">
        <v>100</v>
      </c>
      <c r="C19" s="1" t="s">
        <v>101</v>
      </c>
      <c r="D19">
        <v>56</v>
      </c>
      <c r="E19" s="1" t="s">
        <v>102</v>
      </c>
      <c r="F19" s="1" t="s">
        <v>103</v>
      </c>
      <c r="G19" s="1" t="s">
        <v>19</v>
      </c>
      <c r="L19">
        <v>0.87</v>
      </c>
      <c r="M19" s="1" t="s">
        <v>72</v>
      </c>
      <c r="N19" s="1" t="s">
        <v>29</v>
      </c>
      <c r="O19">
        <v>1</v>
      </c>
      <c r="P19">
        <v>2</v>
      </c>
      <c r="Q19" t="str">
        <f t="shared" si="1"/>
        <v>SCOTT BURNS</v>
      </c>
      <c r="R19" t="str">
        <f t="shared" si="2"/>
        <v>india</v>
      </c>
      <c r="S19" t="str">
        <f>PROPER(global_freelancer_raw[[#This Row],[NAME UPPER]])</f>
        <v>Scott Burns</v>
      </c>
      <c r="T19" t="str">
        <f t="shared" si="3"/>
        <v>In</v>
      </c>
      <c r="U19" t="str">
        <f t="shared" si="0"/>
        <v>t Burn</v>
      </c>
      <c r="V19" t="str">
        <f t="shared" si="4"/>
        <v>18</v>
      </c>
    </row>
    <row r="20" spans="1:22" x14ac:dyDescent="0.3">
      <c r="A20" s="1" t="s">
        <v>104</v>
      </c>
      <c r="B20" s="1" t="s">
        <v>105</v>
      </c>
      <c r="C20" s="1" t="s">
        <v>106</v>
      </c>
      <c r="D20">
        <v>56</v>
      </c>
      <c r="E20" s="1" t="s">
        <v>64</v>
      </c>
      <c r="F20" s="1" t="s">
        <v>26</v>
      </c>
      <c r="G20" s="1" t="s">
        <v>82</v>
      </c>
      <c r="H20">
        <v>31</v>
      </c>
      <c r="I20" t="s">
        <v>107</v>
      </c>
      <c r="J20">
        <v>1.1000000000000001</v>
      </c>
      <c r="K20" t="s">
        <v>35</v>
      </c>
      <c r="L20">
        <v>0.75</v>
      </c>
      <c r="M20" s="1" t="s">
        <v>51</v>
      </c>
      <c r="N20" s="1" t="s">
        <v>29</v>
      </c>
      <c r="O20">
        <v>13</v>
      </c>
      <c r="P20">
        <v>3</v>
      </c>
      <c r="Q20" t="str">
        <f t="shared" si="1"/>
        <v>TYLER AGUIRRE</v>
      </c>
      <c r="R20" t="str">
        <f t="shared" si="2"/>
        <v>us</v>
      </c>
      <c r="S20" t="str">
        <f>PROPER(global_freelancer_raw[[#This Row],[NAME UPPER]])</f>
        <v>Tyler Aguirre</v>
      </c>
      <c r="T20" t="str">
        <f t="shared" si="3"/>
        <v>US</v>
      </c>
      <c r="U20" t="str">
        <f t="shared" si="0"/>
        <v>r Agui</v>
      </c>
      <c r="V20" t="str">
        <f t="shared" si="4"/>
        <v>19</v>
      </c>
    </row>
    <row r="21" spans="1:22" x14ac:dyDescent="0.3">
      <c r="A21" s="1" t="s">
        <v>108</v>
      </c>
      <c r="B21" s="1" t="s">
        <v>109</v>
      </c>
      <c r="C21" s="1" t="s">
        <v>106</v>
      </c>
      <c r="D21">
        <v>57</v>
      </c>
      <c r="E21" s="1" t="s">
        <v>17</v>
      </c>
      <c r="F21" s="1" t="s">
        <v>18</v>
      </c>
      <c r="G21" s="1" t="s">
        <v>40</v>
      </c>
      <c r="H21">
        <v>3</v>
      </c>
      <c r="I21" t="s">
        <v>28</v>
      </c>
      <c r="J21">
        <v>1.8</v>
      </c>
      <c r="K21" t="s">
        <v>76</v>
      </c>
      <c r="L21">
        <v>0.68</v>
      </c>
      <c r="M21" s="1" t="s">
        <v>77</v>
      </c>
      <c r="N21" s="1" t="s">
        <v>29</v>
      </c>
      <c r="O21">
        <v>1</v>
      </c>
      <c r="P21">
        <v>1</v>
      </c>
      <c r="Q21" t="str">
        <f t="shared" si="1"/>
        <v>MATTHEW LAWSON</v>
      </c>
      <c r="R21" t="str">
        <f t="shared" si="2"/>
        <v>italy</v>
      </c>
      <c r="S21" t="str">
        <f>PROPER(global_freelancer_raw[[#This Row],[NAME UPPER]])</f>
        <v>Matthew Lawson</v>
      </c>
      <c r="T21" t="str">
        <f t="shared" si="3"/>
        <v>It</v>
      </c>
      <c r="U21" t="str">
        <f t="shared" si="0"/>
        <v>hew La</v>
      </c>
      <c r="V21" t="str">
        <f t="shared" si="4"/>
        <v>20</v>
      </c>
    </row>
    <row r="22" spans="1:22" x14ac:dyDescent="0.3">
      <c r="A22" s="1" t="s">
        <v>110</v>
      </c>
      <c r="B22" s="1" t="s">
        <v>111</v>
      </c>
      <c r="C22" s="1" t="s">
        <v>106</v>
      </c>
      <c r="E22" s="1" t="s">
        <v>55</v>
      </c>
      <c r="F22" s="1" t="s">
        <v>56</v>
      </c>
      <c r="G22" s="1" t="s">
        <v>49</v>
      </c>
      <c r="H22">
        <v>9</v>
      </c>
      <c r="I22">
        <v>50</v>
      </c>
      <c r="J22">
        <v>1.8</v>
      </c>
      <c r="K22" t="b">
        <v>0</v>
      </c>
      <c r="L22">
        <v>0.65</v>
      </c>
      <c r="M22" s="1" t="s">
        <v>20</v>
      </c>
      <c r="N22" s="1" t="s">
        <v>65</v>
      </c>
      <c r="O22">
        <v>15</v>
      </c>
      <c r="P22">
        <v>6</v>
      </c>
      <c r="Q22" t="str">
        <f t="shared" si="1"/>
        <v>JAMES CHERRY</v>
      </c>
      <c r="R22" t="str">
        <f t="shared" si="2"/>
        <v>indonesia</v>
      </c>
      <c r="S22" t="str">
        <f>PROPER(global_freelancer_raw[[#This Row],[NAME UPPER]])</f>
        <v>James Cherry</v>
      </c>
      <c r="T22" t="str">
        <f t="shared" si="3"/>
        <v>In</v>
      </c>
      <c r="U22" t="str">
        <f t="shared" si="0"/>
        <v>s Cher</v>
      </c>
      <c r="V22" t="str">
        <f t="shared" si="4"/>
        <v>21</v>
      </c>
    </row>
    <row r="23" spans="1:22" x14ac:dyDescent="0.3">
      <c r="A23" s="1" t="s">
        <v>112</v>
      </c>
      <c r="B23" s="1" t="s">
        <v>113</v>
      </c>
      <c r="C23" s="1" t="s">
        <v>54</v>
      </c>
      <c r="D23">
        <v>51</v>
      </c>
      <c r="E23" s="1" t="s">
        <v>94</v>
      </c>
      <c r="F23" s="1" t="s">
        <v>95</v>
      </c>
      <c r="G23" s="1" t="s">
        <v>98</v>
      </c>
      <c r="J23">
        <v>2.4</v>
      </c>
      <c r="K23" t="s">
        <v>35</v>
      </c>
      <c r="L23">
        <v>0.69</v>
      </c>
      <c r="M23" s="1" t="s">
        <v>51</v>
      </c>
      <c r="N23" s="1" t="s">
        <v>29</v>
      </c>
      <c r="O23">
        <v>3</v>
      </c>
      <c r="P23">
        <v>5</v>
      </c>
      <c r="Q23" t="str">
        <f t="shared" si="1"/>
        <v>SAMUEL SANFORD</v>
      </c>
      <c r="R23" t="str">
        <f t="shared" si="2"/>
        <v>japan</v>
      </c>
      <c r="S23" t="str">
        <f>PROPER(global_freelancer_raw[[#This Row],[NAME UPPER]])</f>
        <v>Samuel Sanford</v>
      </c>
      <c r="T23" t="str">
        <f t="shared" si="3"/>
        <v>Ja</v>
      </c>
      <c r="U23" t="str">
        <f t="shared" si="0"/>
        <v>el San</v>
      </c>
      <c r="V23" t="str">
        <f t="shared" si="4"/>
        <v>22</v>
      </c>
    </row>
    <row r="24" spans="1:22" x14ac:dyDescent="0.3">
      <c r="A24" s="1" t="s">
        <v>114</v>
      </c>
      <c r="B24" s="1" t="s">
        <v>115</v>
      </c>
      <c r="C24" s="1" t="s">
        <v>54</v>
      </c>
      <c r="D24">
        <v>51</v>
      </c>
      <c r="E24" s="1" t="s">
        <v>116</v>
      </c>
      <c r="F24" s="1" t="s">
        <v>117</v>
      </c>
      <c r="G24" s="1" t="s">
        <v>87</v>
      </c>
      <c r="H24">
        <v>21</v>
      </c>
      <c r="I24" t="s">
        <v>118</v>
      </c>
      <c r="J24">
        <v>4.7</v>
      </c>
      <c r="K24" t="s">
        <v>35</v>
      </c>
      <c r="M24" s="1" t="s">
        <v>77</v>
      </c>
      <c r="N24" s="1" t="s">
        <v>65</v>
      </c>
      <c r="O24">
        <v>14</v>
      </c>
      <c r="P24">
        <v>2</v>
      </c>
      <c r="Q24" t="str">
        <f t="shared" si="1"/>
        <v>CESAR GREENE</v>
      </c>
      <c r="R24" t="str">
        <f t="shared" si="2"/>
        <v>brazil</v>
      </c>
      <c r="S24" t="str">
        <f>PROPER(global_freelancer_raw[[#This Row],[NAME UPPER]])</f>
        <v>Cesar Greene</v>
      </c>
      <c r="T24" t="str">
        <f t="shared" si="3"/>
        <v>Br</v>
      </c>
      <c r="U24" t="str">
        <f t="shared" si="0"/>
        <v>r Gree</v>
      </c>
      <c r="V24" t="str">
        <f t="shared" si="4"/>
        <v>23</v>
      </c>
    </row>
    <row r="25" spans="1:22" x14ac:dyDescent="0.3">
      <c r="A25" s="1" t="s">
        <v>119</v>
      </c>
      <c r="B25" s="1" t="s">
        <v>120</v>
      </c>
      <c r="C25" s="1" t="s">
        <v>44</v>
      </c>
      <c r="D25">
        <v>51</v>
      </c>
      <c r="E25" s="1" t="s">
        <v>121</v>
      </c>
      <c r="F25" s="1" t="s">
        <v>122</v>
      </c>
      <c r="G25" s="1" t="s">
        <v>123</v>
      </c>
      <c r="H25">
        <v>15</v>
      </c>
      <c r="I25" t="s">
        <v>71</v>
      </c>
      <c r="J25">
        <v>1.3</v>
      </c>
      <c r="K25">
        <v>1</v>
      </c>
      <c r="L25">
        <v>1</v>
      </c>
      <c r="M25" s="1" t="s">
        <v>72</v>
      </c>
      <c r="N25" s="1" t="s">
        <v>29</v>
      </c>
      <c r="O25">
        <v>9</v>
      </c>
      <c r="P25">
        <v>3</v>
      </c>
      <c r="Q25" t="str">
        <f t="shared" si="1"/>
        <v>MELANIE CARTER</v>
      </c>
      <c r="R25" t="str">
        <f t="shared" si="2"/>
        <v>south korea</v>
      </c>
      <c r="S25" t="str">
        <f>PROPER(global_freelancer_raw[[#This Row],[NAME UPPER]])</f>
        <v>Melanie Carter</v>
      </c>
      <c r="T25" t="str">
        <f t="shared" si="3"/>
        <v>So</v>
      </c>
      <c r="U25" t="str">
        <f t="shared" si="0"/>
        <v>nie Ca</v>
      </c>
      <c r="V25" t="str">
        <f t="shared" si="4"/>
        <v>24</v>
      </c>
    </row>
    <row r="26" spans="1:22" x14ac:dyDescent="0.3">
      <c r="A26" s="1" t="s">
        <v>124</v>
      </c>
      <c r="B26" s="1" t="s">
        <v>125</v>
      </c>
      <c r="C26" s="1" t="s">
        <v>16</v>
      </c>
      <c r="D26">
        <v>54</v>
      </c>
      <c r="E26" s="1" t="s">
        <v>55</v>
      </c>
      <c r="F26" s="1" t="s">
        <v>56</v>
      </c>
      <c r="G26" s="1" t="s">
        <v>123</v>
      </c>
      <c r="H26">
        <v>13</v>
      </c>
      <c r="I26">
        <v>75</v>
      </c>
      <c r="J26">
        <v>2.9</v>
      </c>
      <c r="L26">
        <v>92</v>
      </c>
      <c r="M26" s="1" t="s">
        <v>72</v>
      </c>
      <c r="N26" s="1" t="s">
        <v>65</v>
      </c>
      <c r="O26">
        <v>15</v>
      </c>
      <c r="P26">
        <v>3</v>
      </c>
      <c r="Q26" t="str">
        <f t="shared" si="1"/>
        <v>JENNIFER MARTIN</v>
      </c>
      <c r="R26" t="str">
        <f t="shared" si="2"/>
        <v>indonesia</v>
      </c>
      <c r="S26" t="str">
        <f>PROPER(global_freelancer_raw[[#This Row],[NAME UPPER]])</f>
        <v>Jennifer Martin</v>
      </c>
      <c r="T26" t="str">
        <f t="shared" si="3"/>
        <v>In</v>
      </c>
      <c r="U26" t="str">
        <f t="shared" si="0"/>
        <v>ifer M</v>
      </c>
      <c r="V26" t="str">
        <f t="shared" si="4"/>
        <v>25</v>
      </c>
    </row>
    <row r="27" spans="1:22" x14ac:dyDescent="0.3">
      <c r="A27" s="1" t="s">
        <v>126</v>
      </c>
      <c r="B27" s="1" t="s">
        <v>127</v>
      </c>
      <c r="C27" s="1" t="s">
        <v>24</v>
      </c>
      <c r="D27">
        <v>22</v>
      </c>
      <c r="E27" s="1" t="s">
        <v>121</v>
      </c>
      <c r="F27" s="1" t="s">
        <v>122</v>
      </c>
      <c r="G27" s="1" t="s">
        <v>98</v>
      </c>
      <c r="H27">
        <v>0</v>
      </c>
      <c r="I27" t="s">
        <v>118</v>
      </c>
      <c r="J27">
        <v>1.2</v>
      </c>
      <c r="K27">
        <v>1</v>
      </c>
      <c r="L27">
        <v>0.7</v>
      </c>
      <c r="M27" s="1" t="s">
        <v>51</v>
      </c>
      <c r="N27" s="1" t="s">
        <v>21</v>
      </c>
      <c r="O27">
        <v>5</v>
      </c>
      <c r="P27">
        <v>2</v>
      </c>
      <c r="Q27" t="str">
        <f t="shared" si="1"/>
        <v>ANNA MCCANN</v>
      </c>
      <c r="R27" t="str">
        <f t="shared" si="2"/>
        <v>south korea</v>
      </c>
      <c r="S27" t="str">
        <f>PROPER(global_freelancer_raw[[#This Row],[NAME UPPER]])</f>
        <v>Anna Mccann</v>
      </c>
      <c r="T27" t="str">
        <f t="shared" si="3"/>
        <v>So</v>
      </c>
      <c r="U27" t="str">
        <f t="shared" si="0"/>
        <v xml:space="preserve"> Mccan</v>
      </c>
      <c r="V27" t="str">
        <f t="shared" si="4"/>
        <v>26</v>
      </c>
    </row>
    <row r="28" spans="1:22" x14ac:dyDescent="0.3">
      <c r="A28" s="1" t="s">
        <v>128</v>
      </c>
      <c r="B28" s="1" t="s">
        <v>129</v>
      </c>
      <c r="C28" s="1" t="s">
        <v>44</v>
      </c>
      <c r="D28">
        <v>34</v>
      </c>
      <c r="E28" s="1" t="s">
        <v>94</v>
      </c>
      <c r="F28" s="1" t="s">
        <v>95</v>
      </c>
      <c r="G28" s="1" t="s">
        <v>19</v>
      </c>
      <c r="H28">
        <v>8</v>
      </c>
      <c r="I28" t="s">
        <v>130</v>
      </c>
      <c r="J28">
        <v>0</v>
      </c>
      <c r="K28" t="b">
        <v>1</v>
      </c>
      <c r="L28">
        <v>0.89</v>
      </c>
      <c r="M28" s="1" t="s">
        <v>77</v>
      </c>
      <c r="N28" s="1" t="s">
        <v>21</v>
      </c>
      <c r="O28">
        <v>6</v>
      </c>
      <c r="P28">
        <v>1</v>
      </c>
      <c r="Q28" t="str">
        <f t="shared" si="1"/>
        <v>MARISSA BASS</v>
      </c>
      <c r="R28" t="str">
        <f t="shared" si="2"/>
        <v>japan</v>
      </c>
      <c r="S28" t="str">
        <f>PROPER(global_freelancer_raw[[#This Row],[NAME UPPER]])</f>
        <v>Marissa Bass</v>
      </c>
      <c r="T28" t="str">
        <f t="shared" si="3"/>
        <v>Ja</v>
      </c>
      <c r="U28" t="str">
        <f t="shared" si="0"/>
        <v>ssa Ba</v>
      </c>
      <c r="V28" t="str">
        <f t="shared" si="4"/>
        <v>27</v>
      </c>
    </row>
    <row r="29" spans="1:22" x14ac:dyDescent="0.3">
      <c r="A29" s="1" t="s">
        <v>131</v>
      </c>
      <c r="B29" s="1" t="s">
        <v>132</v>
      </c>
      <c r="C29" s="1" t="s">
        <v>86</v>
      </c>
      <c r="D29">
        <v>36</v>
      </c>
      <c r="E29" s="1" t="s">
        <v>133</v>
      </c>
      <c r="F29" s="1" t="s">
        <v>134</v>
      </c>
      <c r="G29" s="1" t="s">
        <v>34</v>
      </c>
      <c r="H29">
        <v>11</v>
      </c>
      <c r="J29">
        <v>1.8</v>
      </c>
      <c r="K29" t="s">
        <v>83</v>
      </c>
      <c r="L29">
        <v>0.86</v>
      </c>
      <c r="M29" s="1" t="s">
        <v>51</v>
      </c>
      <c r="N29" s="1" t="s">
        <v>21</v>
      </c>
      <c r="O29">
        <v>12</v>
      </c>
      <c r="P29">
        <v>4</v>
      </c>
      <c r="Q29" t="str">
        <f t="shared" si="1"/>
        <v>ALEXIS DAY</v>
      </c>
      <c r="R29" t="str">
        <f t="shared" si="2"/>
        <v>russia</v>
      </c>
      <c r="S29" t="str">
        <f>PROPER(global_freelancer_raw[[#This Row],[NAME UPPER]])</f>
        <v>Alexis Day</v>
      </c>
      <c r="T29" t="str">
        <f t="shared" si="3"/>
        <v>Ru</v>
      </c>
      <c r="U29" t="str">
        <f t="shared" si="0"/>
        <v>is Day</v>
      </c>
      <c r="V29" t="str">
        <f t="shared" si="4"/>
        <v>28</v>
      </c>
    </row>
    <row r="30" spans="1:22" x14ac:dyDescent="0.3">
      <c r="A30" s="1" t="s">
        <v>135</v>
      </c>
      <c r="B30" s="1" t="s">
        <v>136</v>
      </c>
      <c r="C30" s="1" t="s">
        <v>44</v>
      </c>
      <c r="D30">
        <v>47</v>
      </c>
      <c r="E30" s="1" t="s">
        <v>137</v>
      </c>
      <c r="F30" s="1" t="s">
        <v>26</v>
      </c>
      <c r="G30" s="1" t="s">
        <v>49</v>
      </c>
      <c r="H30">
        <v>22</v>
      </c>
      <c r="I30">
        <v>30</v>
      </c>
      <c r="J30">
        <v>1.3</v>
      </c>
      <c r="K30">
        <v>0</v>
      </c>
      <c r="L30">
        <v>0.62</v>
      </c>
      <c r="M30" s="1" t="s">
        <v>51</v>
      </c>
      <c r="N30" s="1" t="s">
        <v>21</v>
      </c>
      <c r="O30">
        <v>14</v>
      </c>
      <c r="P30">
        <v>2</v>
      </c>
      <c r="Q30" t="str">
        <f t="shared" si="1"/>
        <v>MEGAN JONES</v>
      </c>
      <c r="R30" t="str">
        <f t="shared" si="2"/>
        <v>canada</v>
      </c>
      <c r="S30" t="str">
        <f>PROPER(global_freelancer_raw[[#This Row],[NAME UPPER]])</f>
        <v>Megan Jones</v>
      </c>
      <c r="T30" t="str">
        <f t="shared" si="3"/>
        <v>Ca</v>
      </c>
      <c r="U30" t="str">
        <f t="shared" si="0"/>
        <v>n Jone</v>
      </c>
      <c r="V30" t="str">
        <f t="shared" si="4"/>
        <v>29</v>
      </c>
    </row>
    <row r="31" spans="1:22" x14ac:dyDescent="0.3">
      <c r="A31" s="1" t="s">
        <v>138</v>
      </c>
      <c r="B31" s="1" t="s">
        <v>139</v>
      </c>
      <c r="C31" s="1" t="s">
        <v>24</v>
      </c>
      <c r="D31">
        <v>41</v>
      </c>
      <c r="E31" s="1" t="s">
        <v>47</v>
      </c>
      <c r="F31" s="1" t="s">
        <v>48</v>
      </c>
      <c r="G31" s="1" t="s">
        <v>57</v>
      </c>
      <c r="H31">
        <v>14</v>
      </c>
      <c r="I31" t="s">
        <v>58</v>
      </c>
      <c r="J31">
        <v>1.2</v>
      </c>
      <c r="K31">
        <v>0</v>
      </c>
      <c r="M31" s="1" t="s">
        <v>77</v>
      </c>
      <c r="N31" s="1" t="s">
        <v>21</v>
      </c>
      <c r="O31">
        <v>6</v>
      </c>
      <c r="P31">
        <v>5</v>
      </c>
      <c r="Q31" t="str">
        <f t="shared" si="1"/>
        <v>LORI SMITH</v>
      </c>
      <c r="R31" t="str">
        <f t="shared" si="2"/>
        <v>netherlands</v>
      </c>
      <c r="S31" t="str">
        <f>PROPER(global_freelancer_raw[[#This Row],[NAME UPPER]])</f>
        <v>Lori Smith</v>
      </c>
      <c r="T31" t="str">
        <f t="shared" si="3"/>
        <v>Ne</v>
      </c>
      <c r="U31" t="str">
        <f t="shared" si="0"/>
        <v xml:space="preserve"> Smith</v>
      </c>
      <c r="V31" t="str">
        <f t="shared" si="4"/>
        <v>30</v>
      </c>
    </row>
    <row r="32" spans="1:22" x14ac:dyDescent="0.3">
      <c r="A32" s="1" t="s">
        <v>140</v>
      </c>
      <c r="B32" s="1" t="s">
        <v>141</v>
      </c>
      <c r="C32" s="1" t="s">
        <v>106</v>
      </c>
      <c r="D32">
        <v>22</v>
      </c>
      <c r="E32" s="1" t="s">
        <v>47</v>
      </c>
      <c r="F32" s="1" t="s">
        <v>48</v>
      </c>
      <c r="G32" s="1" t="s">
        <v>98</v>
      </c>
      <c r="H32">
        <v>4</v>
      </c>
      <c r="J32">
        <v>1</v>
      </c>
      <c r="K32" t="s">
        <v>76</v>
      </c>
      <c r="M32" s="1" t="s">
        <v>77</v>
      </c>
      <c r="N32" s="1" t="s">
        <v>29</v>
      </c>
      <c r="O32">
        <v>3</v>
      </c>
      <c r="P32">
        <v>1</v>
      </c>
      <c r="Q32" t="str">
        <f t="shared" si="1"/>
        <v>ERIC CARPENTER</v>
      </c>
      <c r="R32" t="str">
        <f t="shared" si="2"/>
        <v>netherlands</v>
      </c>
      <c r="S32" t="str">
        <f>PROPER(global_freelancer_raw[[#This Row],[NAME UPPER]])</f>
        <v>Eric Carpenter</v>
      </c>
      <c r="T32" t="str">
        <f t="shared" si="3"/>
        <v>Ne</v>
      </c>
      <c r="U32" t="str">
        <f t="shared" si="0"/>
        <v xml:space="preserve"> Carpe</v>
      </c>
      <c r="V32" t="str">
        <f t="shared" si="4"/>
        <v>31</v>
      </c>
    </row>
    <row r="33" spans="1:22" x14ac:dyDescent="0.3">
      <c r="A33" s="1" t="s">
        <v>142</v>
      </c>
      <c r="B33" s="1" t="s">
        <v>143</v>
      </c>
      <c r="C33" s="1" t="s">
        <v>106</v>
      </c>
      <c r="D33">
        <v>38</v>
      </c>
      <c r="E33" s="1" t="s">
        <v>144</v>
      </c>
      <c r="F33" s="1" t="s">
        <v>145</v>
      </c>
      <c r="G33" s="1" t="s">
        <v>123</v>
      </c>
      <c r="H33">
        <v>19</v>
      </c>
      <c r="I33" t="s">
        <v>28</v>
      </c>
      <c r="J33">
        <v>4.2</v>
      </c>
      <c r="K33" t="s">
        <v>35</v>
      </c>
      <c r="L33">
        <v>0.68</v>
      </c>
      <c r="M33" s="1" t="s">
        <v>20</v>
      </c>
      <c r="N33" s="1" t="s">
        <v>29</v>
      </c>
      <c r="O33">
        <v>10</v>
      </c>
      <c r="P33">
        <v>10</v>
      </c>
      <c r="Q33" t="str">
        <f t="shared" si="1"/>
        <v>TIMOTHY DANIELS</v>
      </c>
      <c r="R33" t="str">
        <f t="shared" si="2"/>
        <v>france</v>
      </c>
      <c r="S33" t="str">
        <f>PROPER(global_freelancer_raw[[#This Row],[NAME UPPER]])</f>
        <v>Timothy Daniels</v>
      </c>
      <c r="T33" t="str">
        <f t="shared" si="3"/>
        <v>Fr</v>
      </c>
      <c r="U33" t="str">
        <f t="shared" si="0"/>
        <v>thy Da</v>
      </c>
      <c r="V33" t="str">
        <f t="shared" si="4"/>
        <v>32</v>
      </c>
    </row>
    <row r="34" spans="1:22" x14ac:dyDescent="0.3">
      <c r="A34" s="1" t="s">
        <v>146</v>
      </c>
      <c r="B34" s="1" t="s">
        <v>147</v>
      </c>
      <c r="C34" s="1" t="s">
        <v>101</v>
      </c>
      <c r="D34">
        <v>46</v>
      </c>
      <c r="E34" s="1" t="s">
        <v>148</v>
      </c>
      <c r="F34" s="1" t="s">
        <v>149</v>
      </c>
      <c r="G34" s="1" t="s">
        <v>49</v>
      </c>
      <c r="H34">
        <v>9</v>
      </c>
      <c r="I34">
        <v>20</v>
      </c>
      <c r="J34">
        <v>1.4</v>
      </c>
      <c r="K34" t="b">
        <v>1</v>
      </c>
      <c r="L34">
        <v>0.76</v>
      </c>
      <c r="M34" s="1" t="s">
        <v>77</v>
      </c>
      <c r="N34" s="1" t="s">
        <v>29</v>
      </c>
      <c r="O34">
        <v>13</v>
      </c>
      <c r="P34">
        <v>6</v>
      </c>
      <c r="Q34" t="str">
        <f t="shared" si="1"/>
        <v>ROBERT NELSON</v>
      </c>
      <c r="R34" t="str">
        <f t="shared" si="2"/>
        <v>egypt</v>
      </c>
      <c r="S34" t="str">
        <f>PROPER(global_freelancer_raw[[#This Row],[NAME UPPER]])</f>
        <v>Robert Nelson</v>
      </c>
      <c r="T34" t="str">
        <f t="shared" si="3"/>
        <v>Eg</v>
      </c>
      <c r="U34" t="str">
        <f t="shared" si="0"/>
        <v>rt Nel</v>
      </c>
      <c r="V34" t="str">
        <f t="shared" si="4"/>
        <v>33</v>
      </c>
    </row>
    <row r="35" spans="1:22" x14ac:dyDescent="0.3">
      <c r="A35" s="1" t="s">
        <v>150</v>
      </c>
      <c r="B35" s="1" t="s">
        <v>151</v>
      </c>
      <c r="C35" s="1" t="s">
        <v>32</v>
      </c>
      <c r="E35" s="1" t="s">
        <v>121</v>
      </c>
      <c r="F35" s="1" t="s">
        <v>122</v>
      </c>
      <c r="G35" s="1" t="s">
        <v>49</v>
      </c>
      <c r="H35">
        <v>9</v>
      </c>
      <c r="I35">
        <v>40</v>
      </c>
      <c r="J35">
        <v>2.4</v>
      </c>
      <c r="K35" t="s">
        <v>76</v>
      </c>
      <c r="L35">
        <v>82</v>
      </c>
      <c r="M35" s="1" t="s">
        <v>72</v>
      </c>
      <c r="N35" s="1" t="s">
        <v>65</v>
      </c>
      <c r="O35">
        <v>15</v>
      </c>
      <c r="P35">
        <v>3</v>
      </c>
      <c r="Q35" t="str">
        <f t="shared" si="1"/>
        <v>MICHAEL ANDERSON</v>
      </c>
      <c r="R35" t="str">
        <f t="shared" si="2"/>
        <v>south korea</v>
      </c>
      <c r="S35" t="str">
        <f>PROPER(global_freelancer_raw[[#This Row],[NAME UPPER]])</f>
        <v>Michael Anderson</v>
      </c>
      <c r="T35" t="str">
        <f t="shared" si="3"/>
        <v>So</v>
      </c>
      <c r="U35" t="str">
        <f t="shared" si="0"/>
        <v>ael An</v>
      </c>
      <c r="V35" t="str">
        <f t="shared" si="4"/>
        <v>34</v>
      </c>
    </row>
    <row r="36" spans="1:22" x14ac:dyDescent="0.3">
      <c r="A36" s="1" t="s">
        <v>152</v>
      </c>
      <c r="B36" s="1" t="s">
        <v>153</v>
      </c>
      <c r="C36" s="1" t="s">
        <v>24</v>
      </c>
      <c r="D36">
        <v>54</v>
      </c>
      <c r="E36" s="1" t="s">
        <v>64</v>
      </c>
      <c r="F36" s="1" t="s">
        <v>26</v>
      </c>
      <c r="G36" s="1" t="s">
        <v>40</v>
      </c>
      <c r="H36">
        <v>32</v>
      </c>
      <c r="I36">
        <v>75</v>
      </c>
      <c r="J36">
        <v>1</v>
      </c>
      <c r="K36" t="s">
        <v>76</v>
      </c>
      <c r="L36">
        <v>0.81</v>
      </c>
      <c r="M36" s="1" t="s">
        <v>51</v>
      </c>
      <c r="N36" s="1" t="s">
        <v>65</v>
      </c>
      <c r="O36">
        <v>18</v>
      </c>
      <c r="P36">
        <v>10</v>
      </c>
      <c r="Q36" t="str">
        <f t="shared" si="1"/>
        <v>JESSICA SNYDER</v>
      </c>
      <c r="R36" t="str">
        <f t="shared" si="2"/>
        <v>us</v>
      </c>
      <c r="S36" t="str">
        <f>PROPER(global_freelancer_raw[[#This Row],[NAME UPPER]])</f>
        <v>Jessica Snyder</v>
      </c>
      <c r="T36" t="str">
        <f t="shared" si="3"/>
        <v>US</v>
      </c>
      <c r="U36" t="str">
        <f t="shared" si="0"/>
        <v>ica Sn</v>
      </c>
      <c r="V36" t="str">
        <f t="shared" si="4"/>
        <v>35</v>
      </c>
    </row>
    <row r="37" spans="1:22" x14ac:dyDescent="0.3">
      <c r="A37" s="1" t="s">
        <v>154</v>
      </c>
      <c r="B37" s="1" t="s">
        <v>155</v>
      </c>
      <c r="C37" s="1" t="s">
        <v>44</v>
      </c>
      <c r="D37">
        <v>52</v>
      </c>
      <c r="E37" s="1" t="s">
        <v>121</v>
      </c>
      <c r="F37" s="1" t="s">
        <v>122</v>
      </c>
      <c r="G37" s="1"/>
      <c r="H37">
        <v>28</v>
      </c>
      <c r="I37" t="s">
        <v>130</v>
      </c>
      <c r="K37">
        <v>0</v>
      </c>
      <c r="M37" s="1" t="s">
        <v>51</v>
      </c>
      <c r="N37" s="1" t="s">
        <v>65</v>
      </c>
      <c r="O37">
        <v>18</v>
      </c>
      <c r="P37">
        <v>2</v>
      </c>
      <c r="Q37" t="str">
        <f t="shared" si="1"/>
        <v>EMILY DANIELS</v>
      </c>
      <c r="R37" t="str">
        <f t="shared" si="2"/>
        <v>south korea</v>
      </c>
      <c r="S37" t="str">
        <f>PROPER(global_freelancer_raw[[#This Row],[NAME UPPER]])</f>
        <v>Emily Daniels</v>
      </c>
      <c r="T37" t="str">
        <f t="shared" si="3"/>
        <v>So</v>
      </c>
      <c r="U37" t="str">
        <f t="shared" si="0"/>
        <v>y Dani</v>
      </c>
      <c r="V37" t="str">
        <f t="shared" si="4"/>
        <v>36</v>
      </c>
    </row>
    <row r="38" spans="1:22" x14ac:dyDescent="0.3">
      <c r="A38" s="1" t="s">
        <v>156</v>
      </c>
      <c r="B38" s="1" t="s">
        <v>157</v>
      </c>
      <c r="C38" s="1" t="s">
        <v>16</v>
      </c>
      <c r="D38">
        <v>42</v>
      </c>
      <c r="E38" s="1" t="s">
        <v>94</v>
      </c>
      <c r="F38" s="1" t="s">
        <v>95</v>
      </c>
      <c r="G38" s="1" t="s">
        <v>27</v>
      </c>
      <c r="H38">
        <v>6</v>
      </c>
      <c r="I38">
        <v>40</v>
      </c>
      <c r="K38">
        <v>0</v>
      </c>
      <c r="L38">
        <v>0.63</v>
      </c>
      <c r="M38" s="1" t="s">
        <v>72</v>
      </c>
      <c r="N38" s="1" t="s">
        <v>65</v>
      </c>
      <c r="O38">
        <v>15</v>
      </c>
      <c r="P38">
        <v>6</v>
      </c>
      <c r="Q38" t="str">
        <f t="shared" si="1"/>
        <v>JAMIE RAMIREZ</v>
      </c>
      <c r="R38" t="str">
        <f t="shared" si="2"/>
        <v>japan</v>
      </c>
      <c r="S38" t="str">
        <f>PROPER(global_freelancer_raw[[#This Row],[NAME UPPER]])</f>
        <v>Jamie Ramirez</v>
      </c>
      <c r="T38" t="str">
        <f t="shared" si="3"/>
        <v>Ja</v>
      </c>
      <c r="U38" t="str">
        <f t="shared" si="0"/>
        <v>e Rami</v>
      </c>
      <c r="V38" t="str">
        <f t="shared" si="4"/>
        <v>37</v>
      </c>
    </row>
    <row r="39" spans="1:22" x14ac:dyDescent="0.3">
      <c r="A39" s="1" t="s">
        <v>158</v>
      </c>
      <c r="B39" s="1" t="s">
        <v>159</v>
      </c>
      <c r="C39" s="1" t="s">
        <v>39</v>
      </c>
      <c r="D39">
        <v>29</v>
      </c>
      <c r="E39" s="1" t="s">
        <v>47</v>
      </c>
      <c r="F39" s="1" t="s">
        <v>48</v>
      </c>
      <c r="G39" s="1" t="s">
        <v>34</v>
      </c>
      <c r="H39">
        <v>10</v>
      </c>
      <c r="I39">
        <v>40</v>
      </c>
      <c r="J39">
        <v>2.2000000000000002</v>
      </c>
      <c r="K39" t="s">
        <v>35</v>
      </c>
      <c r="L39">
        <v>0.67</v>
      </c>
      <c r="M39" s="1" t="s">
        <v>77</v>
      </c>
      <c r="N39" s="1" t="s">
        <v>21</v>
      </c>
      <c r="O39">
        <v>10</v>
      </c>
      <c r="P39">
        <v>9</v>
      </c>
      <c r="Q39" t="str">
        <f t="shared" si="1"/>
        <v>AMY HARRISON</v>
      </c>
      <c r="R39" t="str">
        <f t="shared" si="2"/>
        <v>netherlands</v>
      </c>
      <c r="S39" t="str">
        <f>PROPER(global_freelancer_raw[[#This Row],[NAME UPPER]])</f>
        <v>Amy Harrison</v>
      </c>
      <c r="T39" t="str">
        <f t="shared" si="3"/>
        <v>Ne</v>
      </c>
      <c r="U39" t="str">
        <f t="shared" si="0"/>
        <v>Harris</v>
      </c>
      <c r="V39" t="str">
        <f t="shared" si="4"/>
        <v>38</v>
      </c>
    </row>
    <row r="40" spans="1:22" x14ac:dyDescent="0.3">
      <c r="A40" s="1" t="s">
        <v>160</v>
      </c>
      <c r="B40" s="1" t="s">
        <v>161</v>
      </c>
      <c r="C40" s="1" t="s">
        <v>39</v>
      </c>
      <c r="D40">
        <v>42</v>
      </c>
      <c r="E40" s="1" t="s">
        <v>162</v>
      </c>
      <c r="F40" s="1" t="s">
        <v>163</v>
      </c>
      <c r="G40" s="1" t="s">
        <v>27</v>
      </c>
      <c r="H40">
        <v>23</v>
      </c>
      <c r="I40">
        <v>50</v>
      </c>
      <c r="J40">
        <v>3.2</v>
      </c>
      <c r="K40" t="s">
        <v>76</v>
      </c>
      <c r="M40" s="1" t="s">
        <v>72</v>
      </c>
      <c r="N40" s="1" t="s">
        <v>21</v>
      </c>
      <c r="O40">
        <v>13</v>
      </c>
      <c r="P40">
        <v>3</v>
      </c>
      <c r="Q40" t="str">
        <f t="shared" si="1"/>
        <v>MELINDA WHITE</v>
      </c>
      <c r="R40" t="str">
        <f t="shared" si="2"/>
        <v>south africa</v>
      </c>
      <c r="S40" t="str">
        <f>PROPER(global_freelancer_raw[[#This Row],[NAME UPPER]])</f>
        <v>Melinda White</v>
      </c>
      <c r="T40" t="str">
        <f t="shared" si="3"/>
        <v>So</v>
      </c>
      <c r="U40" t="str">
        <f t="shared" si="0"/>
        <v>nda Wh</v>
      </c>
      <c r="V40" t="str">
        <f t="shared" si="4"/>
        <v>39</v>
      </c>
    </row>
    <row r="41" spans="1:22" x14ac:dyDescent="0.3">
      <c r="A41" s="1" t="s">
        <v>164</v>
      </c>
      <c r="B41" s="1" t="s">
        <v>165</v>
      </c>
      <c r="C41" s="1" t="s">
        <v>106</v>
      </c>
      <c r="D41">
        <v>60</v>
      </c>
      <c r="E41" s="1" t="s">
        <v>94</v>
      </c>
      <c r="F41" s="1" t="s">
        <v>95</v>
      </c>
      <c r="G41" s="1" t="s">
        <v>40</v>
      </c>
      <c r="H41">
        <v>13</v>
      </c>
      <c r="I41" t="s">
        <v>130</v>
      </c>
      <c r="J41">
        <v>3.6</v>
      </c>
      <c r="K41">
        <v>0</v>
      </c>
      <c r="L41">
        <v>0.8</v>
      </c>
      <c r="M41" s="1" t="s">
        <v>72</v>
      </c>
      <c r="N41" s="1" t="s">
        <v>21</v>
      </c>
      <c r="O41">
        <v>9</v>
      </c>
      <c r="P41">
        <v>3</v>
      </c>
      <c r="Q41" t="str">
        <f t="shared" si="1"/>
        <v>JAMES HERNANDEZ</v>
      </c>
      <c r="R41" t="str">
        <f t="shared" si="2"/>
        <v>japan</v>
      </c>
      <c r="S41" t="str">
        <f>PROPER(global_freelancer_raw[[#This Row],[NAME UPPER]])</f>
        <v>James Hernandez</v>
      </c>
      <c r="T41" t="str">
        <f t="shared" si="3"/>
        <v>Ja</v>
      </c>
      <c r="U41" t="str">
        <f t="shared" si="0"/>
        <v>s Hern</v>
      </c>
      <c r="V41" t="str">
        <f t="shared" si="4"/>
        <v>40</v>
      </c>
    </row>
    <row r="42" spans="1:22" x14ac:dyDescent="0.3">
      <c r="A42" s="1" t="s">
        <v>166</v>
      </c>
      <c r="B42" s="1" t="s">
        <v>167</v>
      </c>
      <c r="C42" s="1" t="s">
        <v>86</v>
      </c>
      <c r="D42">
        <v>59</v>
      </c>
      <c r="E42" s="1" t="s">
        <v>75</v>
      </c>
      <c r="F42" s="1" t="s">
        <v>26</v>
      </c>
      <c r="G42" s="1" t="s">
        <v>49</v>
      </c>
      <c r="H42">
        <v>3</v>
      </c>
      <c r="I42" t="s">
        <v>107</v>
      </c>
      <c r="J42">
        <v>0</v>
      </c>
      <c r="K42" t="s">
        <v>168</v>
      </c>
      <c r="M42" s="1" t="s">
        <v>20</v>
      </c>
      <c r="N42" s="1" t="s">
        <v>36</v>
      </c>
      <c r="O42">
        <v>3</v>
      </c>
      <c r="P42">
        <v>1</v>
      </c>
      <c r="Q42" t="str">
        <f t="shared" si="1"/>
        <v>ANGELICA ROGERS</v>
      </c>
      <c r="R42" t="str">
        <f t="shared" si="2"/>
        <v>uk</v>
      </c>
      <c r="S42" t="str">
        <f>PROPER(global_freelancer_raw[[#This Row],[NAME UPPER]])</f>
        <v>Angelica Rogers</v>
      </c>
      <c r="T42" t="str">
        <f t="shared" si="3"/>
        <v>UK</v>
      </c>
      <c r="U42" t="str">
        <f t="shared" si="0"/>
        <v>lica R</v>
      </c>
      <c r="V42" t="str">
        <f t="shared" si="4"/>
        <v>41</v>
      </c>
    </row>
    <row r="43" spans="1:22" x14ac:dyDescent="0.3">
      <c r="A43" s="1" t="s">
        <v>169</v>
      </c>
      <c r="B43" s="1" t="s">
        <v>170</v>
      </c>
      <c r="C43" s="1" t="s">
        <v>86</v>
      </c>
      <c r="D43">
        <v>21</v>
      </c>
      <c r="E43" s="1" t="s">
        <v>137</v>
      </c>
      <c r="F43" s="1" t="s">
        <v>26</v>
      </c>
      <c r="G43" s="1" t="s">
        <v>40</v>
      </c>
      <c r="H43">
        <v>0</v>
      </c>
      <c r="I43">
        <v>30</v>
      </c>
      <c r="J43">
        <v>2.7</v>
      </c>
      <c r="K43">
        <v>1</v>
      </c>
      <c r="L43">
        <v>0.84</v>
      </c>
      <c r="M43" s="1" t="s">
        <v>72</v>
      </c>
      <c r="N43" s="1" t="s">
        <v>29</v>
      </c>
      <c r="O43">
        <v>5</v>
      </c>
      <c r="P43">
        <v>1</v>
      </c>
      <c r="Q43" t="str">
        <f t="shared" si="1"/>
        <v>SAVANNAH WILLIAMS</v>
      </c>
      <c r="R43" t="str">
        <f t="shared" si="2"/>
        <v>canada</v>
      </c>
      <c r="S43" t="str">
        <f>PROPER(global_freelancer_raw[[#This Row],[NAME UPPER]])</f>
        <v>Savannah Williams</v>
      </c>
      <c r="T43" t="str">
        <f t="shared" si="3"/>
        <v>Ca</v>
      </c>
      <c r="U43" t="str">
        <f t="shared" si="0"/>
        <v>nnah W</v>
      </c>
      <c r="V43" t="str">
        <f t="shared" si="4"/>
        <v>42</v>
      </c>
    </row>
    <row r="44" spans="1:22" x14ac:dyDescent="0.3">
      <c r="A44" s="1" t="s">
        <v>171</v>
      </c>
      <c r="B44" s="1" t="s">
        <v>172</v>
      </c>
      <c r="C44" s="1" t="s">
        <v>86</v>
      </c>
      <c r="D44">
        <v>35</v>
      </c>
      <c r="E44" s="1" t="s">
        <v>33</v>
      </c>
      <c r="F44" s="1" t="s">
        <v>33</v>
      </c>
      <c r="G44" s="1" t="s">
        <v>98</v>
      </c>
      <c r="H44">
        <v>10</v>
      </c>
      <c r="I44" t="s">
        <v>71</v>
      </c>
      <c r="J44">
        <v>0</v>
      </c>
      <c r="K44" t="s">
        <v>168</v>
      </c>
      <c r="M44" s="1" t="s">
        <v>51</v>
      </c>
      <c r="N44" s="1" t="s">
        <v>65</v>
      </c>
      <c r="O44">
        <v>7</v>
      </c>
      <c r="P44">
        <v>6</v>
      </c>
      <c r="Q44" t="str">
        <f t="shared" si="1"/>
        <v>KAITLYN SCHMIDT</v>
      </c>
      <c r="R44" t="str">
        <f t="shared" si="2"/>
        <v>germany</v>
      </c>
      <c r="S44" t="str">
        <f>PROPER(global_freelancer_raw[[#This Row],[NAME UPPER]])</f>
        <v>Kaitlyn Schmidt</v>
      </c>
      <c r="T44" t="str">
        <f t="shared" si="3"/>
        <v>Ge</v>
      </c>
      <c r="U44" t="str">
        <f t="shared" si="0"/>
        <v>lyn Sc</v>
      </c>
      <c r="V44" t="str">
        <f t="shared" si="4"/>
        <v>43</v>
      </c>
    </row>
    <row r="45" spans="1:22" x14ac:dyDescent="0.3">
      <c r="A45" s="1" t="s">
        <v>173</v>
      </c>
      <c r="B45" s="1" t="s">
        <v>174</v>
      </c>
      <c r="C45" s="1" t="s">
        <v>32</v>
      </c>
      <c r="D45">
        <v>41</v>
      </c>
      <c r="E45" s="1" t="s">
        <v>75</v>
      </c>
      <c r="F45" s="1" t="s">
        <v>26</v>
      </c>
      <c r="G45" s="1" t="s">
        <v>57</v>
      </c>
      <c r="I45">
        <v>20</v>
      </c>
      <c r="J45">
        <v>2.8</v>
      </c>
      <c r="K45" t="b">
        <v>1</v>
      </c>
      <c r="L45">
        <v>0.63</v>
      </c>
      <c r="M45" s="1" t="s">
        <v>72</v>
      </c>
      <c r="N45" s="1" t="s">
        <v>65</v>
      </c>
      <c r="O45">
        <v>1</v>
      </c>
      <c r="P45">
        <v>1</v>
      </c>
      <c r="Q45" t="str">
        <f t="shared" si="1"/>
        <v>JASON SINGH</v>
      </c>
      <c r="R45" t="str">
        <f t="shared" si="2"/>
        <v>uk</v>
      </c>
      <c r="S45" t="str">
        <f>PROPER(global_freelancer_raw[[#This Row],[NAME UPPER]])</f>
        <v>Jason Singh</v>
      </c>
      <c r="T45" t="str">
        <f t="shared" si="3"/>
        <v>UK</v>
      </c>
      <c r="U45" t="str">
        <f t="shared" si="0"/>
        <v>n Sing</v>
      </c>
      <c r="V45" t="str">
        <f t="shared" si="4"/>
        <v>44</v>
      </c>
    </row>
    <row r="46" spans="1:22" x14ac:dyDescent="0.3">
      <c r="A46" s="1" t="s">
        <v>175</v>
      </c>
      <c r="B46" s="1" t="s">
        <v>176</v>
      </c>
      <c r="C46" s="1" t="s">
        <v>86</v>
      </c>
      <c r="D46">
        <v>51</v>
      </c>
      <c r="E46" s="1" t="s">
        <v>47</v>
      </c>
      <c r="F46" s="1" t="s">
        <v>48</v>
      </c>
      <c r="G46" s="1" t="s">
        <v>123</v>
      </c>
      <c r="H46">
        <v>23</v>
      </c>
      <c r="I46">
        <v>20</v>
      </c>
      <c r="J46">
        <v>2.5</v>
      </c>
      <c r="K46" t="b">
        <v>0</v>
      </c>
      <c r="L46">
        <v>0.8</v>
      </c>
      <c r="M46" s="1" t="s">
        <v>51</v>
      </c>
      <c r="N46" s="1" t="s">
        <v>21</v>
      </c>
      <c r="O46">
        <v>17</v>
      </c>
      <c r="P46">
        <v>15</v>
      </c>
      <c r="Q46" t="str">
        <f t="shared" si="1"/>
        <v>MICHELLE RAMIREZ</v>
      </c>
      <c r="R46" t="str">
        <f t="shared" si="2"/>
        <v>netherlands</v>
      </c>
      <c r="S46" t="str">
        <f>PROPER(global_freelancer_raw[[#This Row],[NAME UPPER]])</f>
        <v>Michelle Ramirez</v>
      </c>
      <c r="T46" t="str">
        <f t="shared" si="3"/>
        <v>Ne</v>
      </c>
      <c r="U46" t="str">
        <f t="shared" si="0"/>
        <v>elle R</v>
      </c>
      <c r="V46" t="str">
        <f t="shared" si="4"/>
        <v>45</v>
      </c>
    </row>
    <row r="47" spans="1:22" x14ac:dyDescent="0.3">
      <c r="A47" s="1" t="s">
        <v>177</v>
      </c>
      <c r="B47" s="1" t="s">
        <v>178</v>
      </c>
      <c r="C47" s="1" t="s">
        <v>32</v>
      </c>
      <c r="D47">
        <v>41</v>
      </c>
      <c r="E47" s="1" t="s">
        <v>162</v>
      </c>
      <c r="F47" s="1" t="s">
        <v>163</v>
      </c>
      <c r="G47" s="1" t="s">
        <v>40</v>
      </c>
      <c r="H47">
        <v>9</v>
      </c>
      <c r="I47" t="s">
        <v>179</v>
      </c>
      <c r="J47">
        <v>4.9000000000000004</v>
      </c>
      <c r="K47">
        <v>1</v>
      </c>
      <c r="L47">
        <v>0.74</v>
      </c>
      <c r="M47" s="1" t="s">
        <v>51</v>
      </c>
      <c r="N47" s="1" t="s">
        <v>65</v>
      </c>
      <c r="O47">
        <v>13</v>
      </c>
      <c r="P47">
        <v>8</v>
      </c>
      <c r="Q47" t="str">
        <f t="shared" si="1"/>
        <v>JAMES BROWN</v>
      </c>
      <c r="R47" t="str">
        <f t="shared" si="2"/>
        <v>south africa</v>
      </c>
      <c r="S47" t="str">
        <f>PROPER(global_freelancer_raw[[#This Row],[NAME UPPER]])</f>
        <v>James Brown</v>
      </c>
      <c r="T47" t="str">
        <f t="shared" si="3"/>
        <v>So</v>
      </c>
      <c r="U47" t="str">
        <f t="shared" si="0"/>
        <v>s Brow</v>
      </c>
      <c r="V47" t="str">
        <f t="shared" si="4"/>
        <v>46</v>
      </c>
    </row>
    <row r="48" spans="1:22" x14ac:dyDescent="0.3">
      <c r="A48" s="1" t="s">
        <v>180</v>
      </c>
      <c r="B48" s="1" t="s">
        <v>181</v>
      </c>
      <c r="C48" s="1" t="s">
        <v>86</v>
      </c>
      <c r="D48">
        <v>47</v>
      </c>
      <c r="E48" s="1" t="s">
        <v>148</v>
      </c>
      <c r="F48" s="1" t="s">
        <v>149</v>
      </c>
      <c r="G48" s="1" t="s">
        <v>98</v>
      </c>
      <c r="H48">
        <v>15</v>
      </c>
      <c r="I48" t="s">
        <v>118</v>
      </c>
      <c r="J48">
        <v>4.5</v>
      </c>
      <c r="K48">
        <v>1</v>
      </c>
      <c r="L48">
        <v>0.85</v>
      </c>
      <c r="M48" s="1" t="s">
        <v>51</v>
      </c>
      <c r="N48" s="1" t="s">
        <v>65</v>
      </c>
      <c r="O48">
        <v>12</v>
      </c>
      <c r="P48">
        <v>4</v>
      </c>
      <c r="Q48" t="str">
        <f t="shared" si="1"/>
        <v>MRS. SAMANTHA SIMMONS</v>
      </c>
      <c r="R48" t="str">
        <f t="shared" si="2"/>
        <v>egypt</v>
      </c>
      <c r="S48" t="str">
        <f>PROPER(global_freelancer_raw[[#This Row],[NAME UPPER]])</f>
        <v>Mrs. Samantha Simmons</v>
      </c>
      <c r="T48" t="str">
        <f t="shared" si="3"/>
        <v>Eg</v>
      </c>
      <c r="U48" t="str">
        <f t="shared" si="0"/>
        <v xml:space="preserve"> Saman</v>
      </c>
      <c r="V48" t="str">
        <f t="shared" si="4"/>
        <v>47</v>
      </c>
    </row>
    <row r="49" spans="1:22" x14ac:dyDescent="0.3">
      <c r="A49" s="1" t="s">
        <v>182</v>
      </c>
      <c r="B49" s="1" t="s">
        <v>183</v>
      </c>
      <c r="C49" s="1" t="s">
        <v>32</v>
      </c>
      <c r="D49">
        <v>25</v>
      </c>
      <c r="E49" s="1" t="s">
        <v>184</v>
      </c>
      <c r="F49" s="1" t="s">
        <v>185</v>
      </c>
      <c r="G49" s="1" t="s">
        <v>34</v>
      </c>
      <c r="H49">
        <v>4</v>
      </c>
      <c r="I49">
        <v>50</v>
      </c>
      <c r="J49">
        <v>2.7</v>
      </c>
      <c r="K49" t="s">
        <v>35</v>
      </c>
      <c r="L49">
        <v>0.77</v>
      </c>
      <c r="M49" s="1" t="s">
        <v>77</v>
      </c>
      <c r="N49" s="1" t="s">
        <v>29</v>
      </c>
      <c r="O49">
        <v>4</v>
      </c>
      <c r="P49">
        <v>3</v>
      </c>
      <c r="Q49" t="str">
        <f t="shared" si="1"/>
        <v>CHASE MASON</v>
      </c>
      <c r="R49" t="str">
        <f t="shared" si="2"/>
        <v>china</v>
      </c>
      <c r="S49" t="str">
        <f>PROPER(global_freelancer_raw[[#This Row],[NAME UPPER]])</f>
        <v>Chase Mason</v>
      </c>
      <c r="T49" t="str">
        <f t="shared" si="3"/>
        <v>Ch</v>
      </c>
      <c r="U49" t="str">
        <f t="shared" si="0"/>
        <v>e Maso</v>
      </c>
      <c r="V49" t="str">
        <f t="shared" si="4"/>
        <v>48</v>
      </c>
    </row>
    <row r="50" spans="1:22" x14ac:dyDescent="0.3">
      <c r="A50" s="1" t="s">
        <v>186</v>
      </c>
      <c r="B50" s="1" t="s">
        <v>187</v>
      </c>
      <c r="C50" s="1" t="s">
        <v>39</v>
      </c>
      <c r="D50">
        <v>25</v>
      </c>
      <c r="E50" s="1" t="s">
        <v>188</v>
      </c>
      <c r="F50" s="1" t="s">
        <v>81</v>
      </c>
      <c r="G50" s="1" t="s">
        <v>27</v>
      </c>
      <c r="H50">
        <v>7</v>
      </c>
      <c r="I50">
        <v>20</v>
      </c>
      <c r="J50">
        <v>1.9</v>
      </c>
      <c r="K50">
        <v>0</v>
      </c>
      <c r="M50" s="1" t="s">
        <v>20</v>
      </c>
      <c r="N50" s="1" t="s">
        <v>21</v>
      </c>
      <c r="O50">
        <v>12</v>
      </c>
      <c r="P50">
        <v>10</v>
      </c>
      <c r="Q50" t="str">
        <f t="shared" si="1"/>
        <v>DOMINIQUE WARD</v>
      </c>
      <c r="R50" t="str">
        <f t="shared" si="2"/>
        <v>mexico</v>
      </c>
      <c r="S50" t="str">
        <f>PROPER(global_freelancer_raw[[#This Row],[NAME UPPER]])</f>
        <v>Dominique Ward</v>
      </c>
      <c r="T50" t="str">
        <f t="shared" si="3"/>
        <v>Me</v>
      </c>
      <c r="U50" t="str">
        <f t="shared" si="0"/>
        <v xml:space="preserve">nique </v>
      </c>
      <c r="V50" t="str">
        <f t="shared" si="4"/>
        <v>49</v>
      </c>
    </row>
    <row r="51" spans="1:22" x14ac:dyDescent="0.3">
      <c r="A51" s="1" t="s">
        <v>189</v>
      </c>
      <c r="B51" s="1" t="s">
        <v>190</v>
      </c>
      <c r="C51" s="1" t="s">
        <v>54</v>
      </c>
      <c r="D51">
        <v>29</v>
      </c>
      <c r="E51" s="1"/>
      <c r="F51" s="1" t="s">
        <v>48</v>
      </c>
      <c r="G51" s="1" t="s">
        <v>82</v>
      </c>
      <c r="H51">
        <v>1</v>
      </c>
      <c r="I51">
        <v>20</v>
      </c>
      <c r="J51">
        <v>1.4</v>
      </c>
      <c r="K51">
        <v>1</v>
      </c>
      <c r="L51">
        <v>0.63</v>
      </c>
      <c r="M51" s="1" t="s">
        <v>51</v>
      </c>
      <c r="N51" s="1" t="s">
        <v>29</v>
      </c>
      <c r="O51">
        <v>2</v>
      </c>
      <c r="P51">
        <v>1</v>
      </c>
      <c r="Q51" t="str">
        <f t="shared" si="1"/>
        <v>LANCE GRIFFIN</v>
      </c>
      <c r="R51" t="str">
        <f t="shared" si="2"/>
        <v/>
      </c>
      <c r="S51" t="str">
        <f>PROPER(global_freelancer_raw[[#This Row],[NAME UPPER]])</f>
        <v>Lance Griffin</v>
      </c>
      <c r="T51" t="str">
        <f t="shared" si="3"/>
        <v/>
      </c>
      <c r="U51" t="str">
        <f t="shared" si="0"/>
        <v>e Grif</v>
      </c>
      <c r="V51" t="str">
        <f t="shared" si="4"/>
        <v>50</v>
      </c>
    </row>
    <row r="52" spans="1:22" x14ac:dyDescent="0.3">
      <c r="A52" s="1" t="s">
        <v>191</v>
      </c>
      <c r="B52" s="1" t="s">
        <v>192</v>
      </c>
      <c r="C52" s="1" t="s">
        <v>24</v>
      </c>
      <c r="D52">
        <v>23</v>
      </c>
      <c r="E52" s="1" t="s">
        <v>80</v>
      </c>
      <c r="F52" s="1" t="s">
        <v>81</v>
      </c>
      <c r="G52" s="1" t="s">
        <v>87</v>
      </c>
      <c r="H52">
        <v>0</v>
      </c>
      <c r="I52">
        <v>75</v>
      </c>
      <c r="J52">
        <v>1.9</v>
      </c>
      <c r="K52" t="b">
        <v>1</v>
      </c>
      <c r="L52">
        <v>0.79</v>
      </c>
      <c r="M52" s="1" t="s">
        <v>51</v>
      </c>
      <c r="N52" s="1" t="s">
        <v>36</v>
      </c>
      <c r="O52">
        <v>2</v>
      </c>
      <c r="P52">
        <v>5</v>
      </c>
      <c r="Q52" t="str">
        <f t="shared" si="1"/>
        <v>JULIE BURGESS</v>
      </c>
      <c r="R52" t="str">
        <f t="shared" si="2"/>
        <v>argentina</v>
      </c>
      <c r="S52" t="str">
        <f>PROPER(global_freelancer_raw[[#This Row],[NAME UPPER]])</f>
        <v>Julie Burgess</v>
      </c>
      <c r="T52" t="str">
        <f t="shared" si="3"/>
        <v>Ar</v>
      </c>
      <c r="U52" t="str">
        <f t="shared" si="0"/>
        <v>e Burg</v>
      </c>
      <c r="V52" t="str">
        <f t="shared" si="4"/>
        <v>51</v>
      </c>
    </row>
    <row r="53" spans="1:22" x14ac:dyDescent="0.3">
      <c r="A53" s="1" t="s">
        <v>193</v>
      </c>
      <c r="B53" s="1" t="s">
        <v>194</v>
      </c>
      <c r="C53" s="1" t="s">
        <v>32</v>
      </c>
      <c r="D53">
        <v>31</v>
      </c>
      <c r="E53" s="1" t="s">
        <v>144</v>
      </c>
      <c r="F53" s="1" t="s">
        <v>145</v>
      </c>
      <c r="G53" s="1" t="s">
        <v>57</v>
      </c>
      <c r="H53">
        <v>8</v>
      </c>
      <c r="I53">
        <v>50</v>
      </c>
      <c r="J53">
        <v>3.4</v>
      </c>
      <c r="K53">
        <v>0</v>
      </c>
      <c r="M53" s="1" t="s">
        <v>77</v>
      </c>
      <c r="N53" s="1" t="s">
        <v>36</v>
      </c>
      <c r="O53">
        <v>11</v>
      </c>
      <c r="P53">
        <v>3</v>
      </c>
      <c r="Q53" t="str">
        <f t="shared" si="1"/>
        <v>DON SCOTT</v>
      </c>
      <c r="R53" t="str">
        <f t="shared" si="2"/>
        <v>france</v>
      </c>
      <c r="S53" t="str">
        <f>PROPER(global_freelancer_raw[[#This Row],[NAME UPPER]])</f>
        <v>Don Scott</v>
      </c>
      <c r="T53" t="str">
        <f t="shared" si="3"/>
        <v>Fr</v>
      </c>
      <c r="U53" t="str">
        <f t="shared" si="0"/>
        <v>Scott</v>
      </c>
      <c r="V53" t="str">
        <f t="shared" si="4"/>
        <v>52</v>
      </c>
    </row>
    <row r="54" spans="1:22" x14ac:dyDescent="0.3">
      <c r="A54" s="1" t="s">
        <v>195</v>
      </c>
      <c r="B54" s="1" t="s">
        <v>196</v>
      </c>
      <c r="C54" s="1" t="s">
        <v>106</v>
      </c>
      <c r="D54">
        <v>51</v>
      </c>
      <c r="E54" s="1" t="s">
        <v>33</v>
      </c>
      <c r="F54" s="1" t="s">
        <v>33</v>
      </c>
      <c r="G54" s="1" t="s">
        <v>123</v>
      </c>
      <c r="H54">
        <v>33</v>
      </c>
      <c r="I54">
        <v>75</v>
      </c>
      <c r="J54">
        <v>3.3</v>
      </c>
      <c r="L54">
        <v>0.68</v>
      </c>
      <c r="M54" s="1" t="s">
        <v>51</v>
      </c>
      <c r="N54" s="1" t="s">
        <v>36</v>
      </c>
      <c r="O54">
        <v>17</v>
      </c>
      <c r="P54">
        <v>8</v>
      </c>
      <c r="Q54" t="str">
        <f t="shared" si="1"/>
        <v>KYLE ATKINSON</v>
      </c>
      <c r="R54" t="str">
        <f t="shared" si="2"/>
        <v>germany</v>
      </c>
      <c r="S54" t="str">
        <f>PROPER(global_freelancer_raw[[#This Row],[NAME UPPER]])</f>
        <v>Kyle Atkinson</v>
      </c>
      <c r="T54" t="str">
        <f t="shared" si="3"/>
        <v>Ge</v>
      </c>
      <c r="U54" t="str">
        <f t="shared" si="0"/>
        <v xml:space="preserve"> Atkin</v>
      </c>
      <c r="V54" t="str">
        <f t="shared" si="4"/>
        <v>53</v>
      </c>
    </row>
    <row r="55" spans="1:22" x14ac:dyDescent="0.3">
      <c r="A55" s="1" t="s">
        <v>197</v>
      </c>
      <c r="B55" s="1" t="s">
        <v>198</v>
      </c>
      <c r="C55" s="1" t="s">
        <v>54</v>
      </c>
      <c r="E55" s="1" t="s">
        <v>199</v>
      </c>
      <c r="F55" s="1" t="s">
        <v>81</v>
      </c>
      <c r="G55" s="1" t="s">
        <v>82</v>
      </c>
      <c r="H55">
        <v>1</v>
      </c>
      <c r="I55">
        <v>30</v>
      </c>
      <c r="J55">
        <v>0</v>
      </c>
      <c r="K55">
        <v>0</v>
      </c>
      <c r="L55">
        <v>0.68</v>
      </c>
      <c r="M55" s="1" t="s">
        <v>72</v>
      </c>
      <c r="N55" s="1" t="s">
        <v>21</v>
      </c>
      <c r="O55">
        <v>1</v>
      </c>
      <c r="P55">
        <v>2</v>
      </c>
      <c r="Q55" t="str">
        <f t="shared" si="1"/>
        <v>JIMMY HOGAN</v>
      </c>
      <c r="R55" t="str">
        <f t="shared" si="2"/>
        <v>spain</v>
      </c>
      <c r="S55" t="str">
        <f>PROPER(global_freelancer_raw[[#This Row],[NAME UPPER]])</f>
        <v>Jimmy Hogan</v>
      </c>
      <c r="T55" t="str">
        <f t="shared" si="3"/>
        <v>Sp</v>
      </c>
      <c r="U55" t="str">
        <f t="shared" si="0"/>
        <v>y Hoga</v>
      </c>
      <c r="V55" t="str">
        <f t="shared" si="4"/>
        <v>54</v>
      </c>
    </row>
    <row r="56" spans="1:22" x14ac:dyDescent="0.3">
      <c r="A56" s="1" t="s">
        <v>200</v>
      </c>
      <c r="B56" s="1" t="s">
        <v>201</v>
      </c>
      <c r="C56" s="1" t="s">
        <v>16</v>
      </c>
      <c r="D56">
        <v>29</v>
      </c>
      <c r="E56" s="1" t="s">
        <v>69</v>
      </c>
      <c r="F56" s="1" t="s">
        <v>70</v>
      </c>
      <c r="G56" s="1" t="s">
        <v>87</v>
      </c>
      <c r="H56">
        <v>11</v>
      </c>
      <c r="I56">
        <v>100</v>
      </c>
      <c r="J56">
        <v>2.2999999999999998</v>
      </c>
      <c r="K56" t="b">
        <v>1</v>
      </c>
      <c r="L56">
        <v>0.72</v>
      </c>
      <c r="M56" s="1" t="s">
        <v>72</v>
      </c>
      <c r="N56" s="1" t="s">
        <v>65</v>
      </c>
      <c r="O56">
        <v>7</v>
      </c>
      <c r="P56">
        <v>7</v>
      </c>
      <c r="Q56" t="str">
        <f t="shared" si="1"/>
        <v>JENNIFER MCINTYRE</v>
      </c>
      <c r="R56" t="str">
        <f t="shared" si="2"/>
        <v>turkey</v>
      </c>
      <c r="S56" t="str">
        <f>PROPER(global_freelancer_raw[[#This Row],[NAME UPPER]])</f>
        <v>Jennifer Mcintyre</v>
      </c>
      <c r="T56" t="str">
        <f t="shared" si="3"/>
        <v>Tu</v>
      </c>
      <c r="U56" t="str">
        <f t="shared" si="0"/>
        <v>ifer M</v>
      </c>
      <c r="V56" t="str">
        <f t="shared" si="4"/>
        <v>55</v>
      </c>
    </row>
    <row r="57" spans="1:22" x14ac:dyDescent="0.3">
      <c r="A57" s="1" t="s">
        <v>202</v>
      </c>
      <c r="B57" s="1" t="s">
        <v>203</v>
      </c>
      <c r="C57" s="1" t="s">
        <v>54</v>
      </c>
      <c r="D57">
        <v>50</v>
      </c>
      <c r="E57" s="1" t="s">
        <v>75</v>
      </c>
      <c r="F57" s="1" t="s">
        <v>26</v>
      </c>
      <c r="G57" s="1" t="s">
        <v>49</v>
      </c>
      <c r="H57">
        <v>15</v>
      </c>
      <c r="J57">
        <v>2</v>
      </c>
      <c r="K57" t="s">
        <v>76</v>
      </c>
      <c r="L57">
        <v>0.65</v>
      </c>
      <c r="M57" s="1" t="s">
        <v>20</v>
      </c>
      <c r="N57" s="1" t="s">
        <v>21</v>
      </c>
      <c r="O57">
        <v>7</v>
      </c>
      <c r="P57">
        <v>7</v>
      </c>
      <c r="Q57" t="str">
        <f t="shared" si="1"/>
        <v>LARRY SIMPSON</v>
      </c>
      <c r="R57" t="str">
        <f t="shared" si="2"/>
        <v>uk</v>
      </c>
      <c r="S57" t="str">
        <f>PROPER(global_freelancer_raw[[#This Row],[NAME UPPER]])</f>
        <v>Larry Simpson</v>
      </c>
      <c r="T57" t="str">
        <f t="shared" si="3"/>
        <v>UK</v>
      </c>
      <c r="U57" t="str">
        <f t="shared" si="0"/>
        <v>y Simp</v>
      </c>
      <c r="V57" t="str">
        <f t="shared" si="4"/>
        <v>56</v>
      </c>
    </row>
    <row r="58" spans="1:22" x14ac:dyDescent="0.3">
      <c r="A58" s="1" t="s">
        <v>204</v>
      </c>
      <c r="B58" s="1" t="s">
        <v>205</v>
      </c>
      <c r="C58" s="1" t="s">
        <v>16</v>
      </c>
      <c r="D58">
        <v>26</v>
      </c>
      <c r="E58" s="1" t="s">
        <v>75</v>
      </c>
      <c r="F58" s="1" t="s">
        <v>26</v>
      </c>
      <c r="G58" s="1" t="s">
        <v>98</v>
      </c>
      <c r="H58">
        <v>8</v>
      </c>
      <c r="I58">
        <v>50</v>
      </c>
      <c r="J58">
        <v>1.3</v>
      </c>
      <c r="K58" t="b">
        <v>0</v>
      </c>
      <c r="L58">
        <v>0.76</v>
      </c>
      <c r="M58" s="1" t="s">
        <v>51</v>
      </c>
      <c r="N58" s="1" t="s">
        <v>21</v>
      </c>
      <c r="O58">
        <v>7</v>
      </c>
      <c r="P58">
        <v>5</v>
      </c>
      <c r="Q58" t="str">
        <f t="shared" si="1"/>
        <v>LAURA PRICE</v>
      </c>
      <c r="R58" t="str">
        <f t="shared" si="2"/>
        <v>uk</v>
      </c>
      <c r="S58" t="str">
        <f>PROPER(global_freelancer_raw[[#This Row],[NAME UPPER]])</f>
        <v>Laura Price</v>
      </c>
      <c r="T58" t="str">
        <f t="shared" si="3"/>
        <v>UK</v>
      </c>
      <c r="U58" t="str">
        <f t="shared" si="0"/>
        <v>a Pric</v>
      </c>
      <c r="V58" t="str">
        <f t="shared" si="4"/>
        <v>57</v>
      </c>
    </row>
    <row r="59" spans="1:22" x14ac:dyDescent="0.3">
      <c r="A59" s="1" t="s">
        <v>206</v>
      </c>
      <c r="B59" s="1" t="s">
        <v>207</v>
      </c>
      <c r="C59" s="1" t="s">
        <v>106</v>
      </c>
      <c r="D59">
        <v>38</v>
      </c>
      <c r="E59" s="1" t="s">
        <v>137</v>
      </c>
      <c r="F59" s="1" t="s">
        <v>26</v>
      </c>
      <c r="G59" s="1" t="s">
        <v>49</v>
      </c>
      <c r="H59">
        <v>17</v>
      </c>
      <c r="I59" t="s">
        <v>61</v>
      </c>
      <c r="J59">
        <v>4</v>
      </c>
      <c r="K59" t="b">
        <v>1</v>
      </c>
      <c r="L59">
        <v>0.9</v>
      </c>
      <c r="M59" s="1" t="s">
        <v>77</v>
      </c>
      <c r="N59" s="1" t="s">
        <v>65</v>
      </c>
      <c r="O59">
        <v>16</v>
      </c>
      <c r="P59">
        <v>11</v>
      </c>
      <c r="Q59" t="str">
        <f t="shared" si="1"/>
        <v>MARK WRIGHT</v>
      </c>
      <c r="R59" t="str">
        <f t="shared" si="2"/>
        <v>canada</v>
      </c>
      <c r="S59" t="str">
        <f>PROPER(global_freelancer_raw[[#This Row],[NAME UPPER]])</f>
        <v>Mark Wright</v>
      </c>
      <c r="T59" t="str">
        <f t="shared" si="3"/>
        <v>Ca</v>
      </c>
      <c r="U59" t="str">
        <f t="shared" si="0"/>
        <v xml:space="preserve"> Wrigh</v>
      </c>
      <c r="V59" t="str">
        <f t="shared" si="4"/>
        <v>58</v>
      </c>
    </row>
    <row r="60" spans="1:22" x14ac:dyDescent="0.3">
      <c r="A60" s="1" t="s">
        <v>208</v>
      </c>
      <c r="B60" s="1" t="s">
        <v>209</v>
      </c>
      <c r="C60" s="1" t="s">
        <v>24</v>
      </c>
      <c r="D60">
        <v>23</v>
      </c>
      <c r="E60" s="1" t="s">
        <v>102</v>
      </c>
      <c r="F60" s="1" t="s">
        <v>103</v>
      </c>
      <c r="G60" s="1" t="s">
        <v>27</v>
      </c>
      <c r="I60">
        <v>75</v>
      </c>
      <c r="J60">
        <v>3.6</v>
      </c>
      <c r="K60">
        <v>1</v>
      </c>
      <c r="L60">
        <v>0.65</v>
      </c>
      <c r="M60" s="1" t="s">
        <v>72</v>
      </c>
      <c r="N60" s="1" t="s">
        <v>29</v>
      </c>
      <c r="O60">
        <v>2</v>
      </c>
      <c r="P60">
        <v>4</v>
      </c>
      <c r="Q60" t="str">
        <f t="shared" si="1"/>
        <v>SAMANTHA MCDANIEL</v>
      </c>
      <c r="R60" t="str">
        <f t="shared" si="2"/>
        <v>india</v>
      </c>
      <c r="S60" t="str">
        <f>PROPER(global_freelancer_raw[[#This Row],[NAME UPPER]])</f>
        <v>Samantha Mcdaniel</v>
      </c>
      <c r="T60" t="str">
        <f t="shared" si="3"/>
        <v>In</v>
      </c>
      <c r="U60" t="str">
        <f t="shared" si="0"/>
        <v>ntha M</v>
      </c>
      <c r="V60" t="str">
        <f t="shared" si="4"/>
        <v>59</v>
      </c>
    </row>
    <row r="61" spans="1:22" x14ac:dyDescent="0.3">
      <c r="A61" s="1" t="s">
        <v>210</v>
      </c>
      <c r="B61" s="1" t="s">
        <v>211</v>
      </c>
      <c r="C61" s="1" t="s">
        <v>86</v>
      </c>
      <c r="D61">
        <v>51</v>
      </c>
      <c r="E61" s="1" t="s">
        <v>162</v>
      </c>
      <c r="F61" s="1" t="s">
        <v>163</v>
      </c>
      <c r="G61" s="1" t="s">
        <v>98</v>
      </c>
      <c r="H61">
        <v>28</v>
      </c>
      <c r="I61">
        <v>40</v>
      </c>
      <c r="J61">
        <v>3.9</v>
      </c>
      <c r="K61">
        <v>0</v>
      </c>
      <c r="L61">
        <v>0.63</v>
      </c>
      <c r="M61" s="1" t="s">
        <v>77</v>
      </c>
      <c r="N61" s="1" t="s">
        <v>36</v>
      </c>
      <c r="O61">
        <v>13</v>
      </c>
      <c r="P61">
        <v>6</v>
      </c>
      <c r="Q61" t="str">
        <f t="shared" si="1"/>
        <v>BARBARA FOSTER</v>
      </c>
      <c r="R61" t="str">
        <f t="shared" si="2"/>
        <v>south africa</v>
      </c>
      <c r="S61" t="str">
        <f>PROPER(global_freelancer_raw[[#This Row],[NAME UPPER]])</f>
        <v>Barbara Foster</v>
      </c>
      <c r="T61" t="str">
        <f t="shared" si="3"/>
        <v>So</v>
      </c>
      <c r="U61" t="str">
        <f t="shared" si="0"/>
        <v>ara Fo</v>
      </c>
      <c r="V61" t="str">
        <f t="shared" si="4"/>
        <v>60</v>
      </c>
    </row>
    <row r="62" spans="1:22" x14ac:dyDescent="0.3">
      <c r="A62" s="1" t="s">
        <v>212</v>
      </c>
      <c r="B62" s="1" t="s">
        <v>213</v>
      </c>
      <c r="C62" s="1" t="s">
        <v>39</v>
      </c>
      <c r="D62">
        <v>51</v>
      </c>
      <c r="E62" s="1" t="s">
        <v>55</v>
      </c>
      <c r="F62" s="1" t="s">
        <v>56</v>
      </c>
      <c r="G62" s="1" t="s">
        <v>49</v>
      </c>
      <c r="H62">
        <v>33</v>
      </c>
      <c r="I62" t="s">
        <v>179</v>
      </c>
      <c r="J62">
        <v>0</v>
      </c>
      <c r="K62" t="b">
        <v>1</v>
      </c>
      <c r="M62" s="1" t="s">
        <v>77</v>
      </c>
      <c r="N62" s="1" t="s">
        <v>29</v>
      </c>
      <c r="O62">
        <v>14</v>
      </c>
      <c r="P62">
        <v>8</v>
      </c>
      <c r="Q62" t="str">
        <f t="shared" si="1"/>
        <v>COURTNEY TRAN</v>
      </c>
      <c r="R62" t="str">
        <f t="shared" si="2"/>
        <v>indonesia</v>
      </c>
      <c r="S62" t="str">
        <f>PROPER(global_freelancer_raw[[#This Row],[NAME UPPER]])</f>
        <v>Courtney Tran</v>
      </c>
      <c r="T62" t="str">
        <f t="shared" si="3"/>
        <v>In</v>
      </c>
      <c r="U62" t="str">
        <f t="shared" si="0"/>
        <v>tney T</v>
      </c>
      <c r="V62" t="str">
        <f t="shared" si="4"/>
        <v>61</v>
      </c>
    </row>
    <row r="63" spans="1:22" x14ac:dyDescent="0.3">
      <c r="A63" s="1" t="s">
        <v>214</v>
      </c>
      <c r="B63" s="1" t="s">
        <v>215</v>
      </c>
      <c r="C63" s="1" t="s">
        <v>106</v>
      </c>
      <c r="D63">
        <v>47</v>
      </c>
      <c r="E63" s="1" t="s">
        <v>33</v>
      </c>
      <c r="F63" s="1" t="s">
        <v>33</v>
      </c>
      <c r="G63" s="1" t="s">
        <v>49</v>
      </c>
      <c r="H63">
        <v>18</v>
      </c>
      <c r="I63">
        <v>75</v>
      </c>
      <c r="J63">
        <v>0</v>
      </c>
      <c r="K63">
        <v>0</v>
      </c>
      <c r="M63" s="1" t="s">
        <v>72</v>
      </c>
      <c r="N63" s="1" t="s">
        <v>36</v>
      </c>
      <c r="O63">
        <v>11</v>
      </c>
      <c r="P63">
        <v>8</v>
      </c>
      <c r="Q63" t="str">
        <f t="shared" si="1"/>
        <v>EDDIE TODD</v>
      </c>
      <c r="R63" t="str">
        <f t="shared" si="2"/>
        <v>germany</v>
      </c>
      <c r="S63" t="str">
        <f>PROPER(global_freelancer_raw[[#This Row],[NAME UPPER]])</f>
        <v>Eddie Todd</v>
      </c>
      <c r="T63" t="str">
        <f t="shared" si="3"/>
        <v>Ge</v>
      </c>
      <c r="U63" t="str">
        <f t="shared" si="0"/>
        <v>e Todd</v>
      </c>
      <c r="V63" t="str">
        <f t="shared" si="4"/>
        <v>62</v>
      </c>
    </row>
    <row r="64" spans="1:22" x14ac:dyDescent="0.3">
      <c r="A64" s="1" t="s">
        <v>216</v>
      </c>
      <c r="B64" s="1" t="s">
        <v>217</v>
      </c>
      <c r="C64" s="1" t="s">
        <v>86</v>
      </c>
      <c r="D64">
        <v>34</v>
      </c>
      <c r="E64" s="1" t="s">
        <v>133</v>
      </c>
      <c r="F64" s="1" t="s">
        <v>134</v>
      </c>
      <c r="G64" s="1" t="s">
        <v>82</v>
      </c>
      <c r="H64">
        <v>16</v>
      </c>
      <c r="I64" t="s">
        <v>130</v>
      </c>
      <c r="J64">
        <v>2.2999999999999998</v>
      </c>
      <c r="K64" t="s">
        <v>76</v>
      </c>
      <c r="L64">
        <v>0.93</v>
      </c>
      <c r="M64" s="1" t="s">
        <v>77</v>
      </c>
      <c r="N64" s="1" t="s">
        <v>21</v>
      </c>
      <c r="O64">
        <v>15</v>
      </c>
      <c r="P64">
        <v>5</v>
      </c>
      <c r="Q64" t="str">
        <f t="shared" si="1"/>
        <v>CHRISTINE JOHNSON</v>
      </c>
      <c r="R64" t="str">
        <f t="shared" si="2"/>
        <v>russia</v>
      </c>
      <c r="S64" t="str">
        <f>PROPER(global_freelancer_raw[[#This Row],[NAME UPPER]])</f>
        <v>Christine Johnson</v>
      </c>
      <c r="T64" t="str">
        <f t="shared" si="3"/>
        <v>Ru</v>
      </c>
      <c r="U64" t="str">
        <f t="shared" si="0"/>
        <v xml:space="preserve">stine </v>
      </c>
      <c r="V64" t="str">
        <f t="shared" si="4"/>
        <v>63</v>
      </c>
    </row>
    <row r="65" spans="1:22" x14ac:dyDescent="0.3">
      <c r="A65" s="1" t="s">
        <v>218</v>
      </c>
      <c r="B65" s="1" t="s">
        <v>219</v>
      </c>
      <c r="C65" s="1" t="s">
        <v>16</v>
      </c>
      <c r="D65">
        <v>58</v>
      </c>
      <c r="E65" s="1" t="s">
        <v>55</v>
      </c>
      <c r="F65" s="1" t="s">
        <v>56</v>
      </c>
      <c r="G65" s="1" t="s">
        <v>57</v>
      </c>
      <c r="H65">
        <v>35</v>
      </c>
      <c r="I65" t="s">
        <v>107</v>
      </c>
      <c r="J65">
        <v>4.7</v>
      </c>
      <c r="K65" t="s">
        <v>168</v>
      </c>
      <c r="L65">
        <v>0.7</v>
      </c>
      <c r="M65" s="1" t="s">
        <v>72</v>
      </c>
      <c r="N65" s="1" t="s">
        <v>36</v>
      </c>
      <c r="O65">
        <v>17</v>
      </c>
      <c r="P65">
        <v>13</v>
      </c>
      <c r="Q65" t="str">
        <f t="shared" si="1"/>
        <v>LEAH PHELPS</v>
      </c>
      <c r="R65" t="str">
        <f t="shared" si="2"/>
        <v>indonesia</v>
      </c>
      <c r="S65" t="str">
        <f>PROPER(global_freelancer_raw[[#This Row],[NAME UPPER]])</f>
        <v>Leah Phelps</v>
      </c>
      <c r="T65" t="str">
        <f t="shared" si="3"/>
        <v>In</v>
      </c>
      <c r="U65" t="str">
        <f t="shared" si="0"/>
        <v xml:space="preserve"> Phelp</v>
      </c>
      <c r="V65" t="str">
        <f t="shared" si="4"/>
        <v>64</v>
      </c>
    </row>
    <row r="66" spans="1:22" x14ac:dyDescent="0.3">
      <c r="A66" s="1" t="s">
        <v>220</v>
      </c>
      <c r="B66" s="1" t="s">
        <v>221</v>
      </c>
      <c r="C66" s="1" t="s">
        <v>39</v>
      </c>
      <c r="D66">
        <v>50</v>
      </c>
      <c r="E66" s="1" t="s">
        <v>133</v>
      </c>
      <c r="F66" s="1" t="s">
        <v>134</v>
      </c>
      <c r="G66" s="1" t="s">
        <v>49</v>
      </c>
      <c r="H66">
        <v>14</v>
      </c>
      <c r="J66">
        <v>3.5</v>
      </c>
      <c r="K66" t="s">
        <v>83</v>
      </c>
      <c r="L66">
        <v>0.83</v>
      </c>
      <c r="M66" s="1" t="s">
        <v>77</v>
      </c>
      <c r="N66" s="1" t="s">
        <v>21</v>
      </c>
      <c r="O66">
        <v>13</v>
      </c>
      <c r="P66">
        <v>8</v>
      </c>
      <c r="Q66" t="str">
        <f t="shared" si="1"/>
        <v>REBEKAH WILLIAMS</v>
      </c>
      <c r="R66" t="str">
        <f t="shared" si="2"/>
        <v>russia</v>
      </c>
      <c r="S66" t="str">
        <f>PROPER(global_freelancer_raw[[#This Row],[NAME UPPER]])</f>
        <v>Rebekah Williams</v>
      </c>
      <c r="T66" t="str">
        <f t="shared" si="3"/>
        <v>Ru</v>
      </c>
      <c r="U66" t="str">
        <f t="shared" ref="U66:U129" si="5">MID(B66,5,6)</f>
        <v>kah Wi</v>
      </c>
      <c r="V66" t="str">
        <f t="shared" si="4"/>
        <v>65</v>
      </c>
    </row>
    <row r="67" spans="1:22" x14ac:dyDescent="0.3">
      <c r="A67" s="1" t="s">
        <v>222</v>
      </c>
      <c r="B67" s="1" t="s">
        <v>223</v>
      </c>
      <c r="C67" s="1" t="s">
        <v>24</v>
      </c>
      <c r="D67">
        <v>34</v>
      </c>
      <c r="E67" s="1" t="s">
        <v>199</v>
      </c>
      <c r="F67" s="1" t="s">
        <v>81</v>
      </c>
      <c r="G67" s="1" t="s">
        <v>40</v>
      </c>
      <c r="H67">
        <v>12</v>
      </c>
      <c r="I67">
        <v>40</v>
      </c>
      <c r="J67">
        <v>2.4</v>
      </c>
      <c r="K67">
        <v>1</v>
      </c>
      <c r="L67">
        <v>64</v>
      </c>
      <c r="M67" s="1" t="s">
        <v>72</v>
      </c>
      <c r="N67" s="1" t="s">
        <v>29</v>
      </c>
      <c r="O67">
        <v>14</v>
      </c>
      <c r="P67">
        <v>12</v>
      </c>
      <c r="Q67" t="str">
        <f t="shared" ref="Q67:Q130" si="6">UPPER(B67)</f>
        <v>CRYSTAL WILSON</v>
      </c>
      <c r="R67" t="str">
        <f t="shared" ref="R67:R130" si="7">LOWER(E67)</f>
        <v>spain</v>
      </c>
      <c r="S67" t="str">
        <f>PROPER(global_freelancer_raw[[#This Row],[NAME UPPER]])</f>
        <v>Crystal Wilson</v>
      </c>
      <c r="T67" t="str">
        <f t="shared" ref="T67:T130" si="8">LEFT(E67,"2")</f>
        <v>Sp</v>
      </c>
      <c r="U67" t="str">
        <f t="shared" si="5"/>
        <v>tal Wi</v>
      </c>
      <c r="V67" t="str">
        <f t="shared" ref="V67:V130" si="9">RIGHT(A67,"2")</f>
        <v>66</v>
      </c>
    </row>
    <row r="68" spans="1:22" x14ac:dyDescent="0.3">
      <c r="A68" s="1" t="s">
        <v>224</v>
      </c>
      <c r="B68" s="1" t="s">
        <v>225</v>
      </c>
      <c r="C68" s="1" t="s">
        <v>86</v>
      </c>
      <c r="D68">
        <v>45</v>
      </c>
      <c r="E68" s="1" t="s">
        <v>116</v>
      </c>
      <c r="F68" s="1" t="s">
        <v>117</v>
      </c>
      <c r="G68" s="1" t="s">
        <v>49</v>
      </c>
      <c r="H68">
        <v>11</v>
      </c>
      <c r="I68" t="s">
        <v>58</v>
      </c>
      <c r="J68">
        <v>4</v>
      </c>
      <c r="K68" t="s">
        <v>35</v>
      </c>
      <c r="L68">
        <v>1</v>
      </c>
      <c r="M68" s="1" t="s">
        <v>51</v>
      </c>
      <c r="N68" s="1" t="s">
        <v>21</v>
      </c>
      <c r="O68">
        <v>9</v>
      </c>
      <c r="P68">
        <v>2</v>
      </c>
      <c r="Q68" t="str">
        <f t="shared" si="6"/>
        <v>ASHLEY CORDOVA</v>
      </c>
      <c r="R68" t="str">
        <f t="shared" si="7"/>
        <v>brazil</v>
      </c>
      <c r="S68" t="str">
        <f>PROPER(global_freelancer_raw[[#This Row],[NAME UPPER]])</f>
        <v>Ashley Cordova</v>
      </c>
      <c r="T68" t="str">
        <f t="shared" si="8"/>
        <v>Br</v>
      </c>
      <c r="U68" t="str">
        <f t="shared" si="5"/>
        <v>ey Cor</v>
      </c>
      <c r="V68" t="str">
        <f t="shared" si="9"/>
        <v>67</v>
      </c>
    </row>
    <row r="69" spans="1:22" x14ac:dyDescent="0.3">
      <c r="A69" s="1" t="s">
        <v>226</v>
      </c>
      <c r="B69" s="1" t="s">
        <v>227</v>
      </c>
      <c r="C69" s="1" t="s">
        <v>24</v>
      </c>
      <c r="D69">
        <v>55</v>
      </c>
      <c r="E69" s="1" t="s">
        <v>116</v>
      </c>
      <c r="F69" s="1" t="s">
        <v>117</v>
      </c>
      <c r="G69" s="1" t="s">
        <v>40</v>
      </c>
      <c r="H69">
        <v>0</v>
      </c>
      <c r="I69" t="s">
        <v>41</v>
      </c>
      <c r="J69">
        <v>0</v>
      </c>
      <c r="K69" t="b">
        <v>1</v>
      </c>
      <c r="M69" s="1" t="s">
        <v>20</v>
      </c>
      <c r="N69" s="1" t="s">
        <v>29</v>
      </c>
      <c r="O69">
        <v>5</v>
      </c>
      <c r="P69">
        <v>5</v>
      </c>
      <c r="Q69" t="str">
        <f t="shared" si="6"/>
        <v>VICKI KELLY</v>
      </c>
      <c r="R69" t="str">
        <f t="shared" si="7"/>
        <v>brazil</v>
      </c>
      <c r="S69" t="str">
        <f>PROPER(global_freelancer_raw[[#This Row],[NAME UPPER]])</f>
        <v>Vicki Kelly</v>
      </c>
      <c r="T69" t="str">
        <f t="shared" si="8"/>
        <v>Br</v>
      </c>
      <c r="U69" t="str">
        <f t="shared" si="5"/>
        <v>i Kell</v>
      </c>
      <c r="V69" t="str">
        <f t="shared" si="9"/>
        <v>68</v>
      </c>
    </row>
    <row r="70" spans="1:22" x14ac:dyDescent="0.3">
      <c r="A70" s="1" t="s">
        <v>228</v>
      </c>
      <c r="B70" s="1" t="s">
        <v>229</v>
      </c>
      <c r="C70" s="1" t="s">
        <v>54</v>
      </c>
      <c r="E70" s="1" t="s">
        <v>80</v>
      </c>
      <c r="F70" s="1" t="s">
        <v>81</v>
      </c>
      <c r="G70" s="1" t="s">
        <v>82</v>
      </c>
      <c r="H70">
        <v>6</v>
      </c>
      <c r="I70">
        <v>100</v>
      </c>
      <c r="J70">
        <v>1.5</v>
      </c>
      <c r="K70" t="b">
        <v>0</v>
      </c>
      <c r="M70" s="1" t="s">
        <v>72</v>
      </c>
      <c r="N70" s="1" t="s">
        <v>65</v>
      </c>
      <c r="O70">
        <v>8</v>
      </c>
      <c r="P70">
        <v>2</v>
      </c>
      <c r="Q70" t="str">
        <f t="shared" si="6"/>
        <v>COREY WARREN</v>
      </c>
      <c r="R70" t="str">
        <f t="shared" si="7"/>
        <v>argentina</v>
      </c>
      <c r="S70" t="str">
        <f>PROPER(global_freelancer_raw[[#This Row],[NAME UPPER]])</f>
        <v>Corey Warren</v>
      </c>
      <c r="T70" t="str">
        <f t="shared" si="8"/>
        <v>Ar</v>
      </c>
      <c r="U70" t="str">
        <f t="shared" si="5"/>
        <v>y Warr</v>
      </c>
      <c r="V70" t="str">
        <f t="shared" si="9"/>
        <v>69</v>
      </c>
    </row>
    <row r="71" spans="1:22" x14ac:dyDescent="0.3">
      <c r="A71" s="1" t="s">
        <v>230</v>
      </c>
      <c r="B71" s="1" t="s">
        <v>231</v>
      </c>
      <c r="C71" s="1" t="s">
        <v>24</v>
      </c>
      <c r="D71">
        <v>60</v>
      </c>
      <c r="E71" s="1" t="s">
        <v>184</v>
      </c>
      <c r="F71" s="1" t="s">
        <v>185</v>
      </c>
      <c r="G71" s="1" t="s">
        <v>82</v>
      </c>
      <c r="H71">
        <v>38</v>
      </c>
      <c r="I71" t="s">
        <v>130</v>
      </c>
      <c r="J71">
        <v>2</v>
      </c>
      <c r="K71" t="s">
        <v>168</v>
      </c>
      <c r="L71">
        <v>0.71</v>
      </c>
      <c r="M71" s="1" t="s">
        <v>72</v>
      </c>
      <c r="N71" s="1" t="s">
        <v>65</v>
      </c>
      <c r="O71">
        <v>19</v>
      </c>
      <c r="P71">
        <v>7</v>
      </c>
      <c r="Q71" t="str">
        <f t="shared" si="6"/>
        <v>GINA THOMPSON</v>
      </c>
      <c r="R71" t="str">
        <f t="shared" si="7"/>
        <v>china</v>
      </c>
      <c r="S71" t="str">
        <f>PROPER(global_freelancer_raw[[#This Row],[NAME UPPER]])</f>
        <v>Gina Thompson</v>
      </c>
      <c r="T71" t="str">
        <f t="shared" si="8"/>
        <v>Ch</v>
      </c>
      <c r="U71" t="str">
        <f t="shared" si="5"/>
        <v xml:space="preserve"> Thomp</v>
      </c>
      <c r="V71" t="str">
        <f t="shared" si="9"/>
        <v>70</v>
      </c>
    </row>
    <row r="72" spans="1:22" x14ac:dyDescent="0.3">
      <c r="A72" s="1" t="s">
        <v>232</v>
      </c>
      <c r="B72" s="1" t="s">
        <v>233</v>
      </c>
      <c r="C72" s="1" t="s">
        <v>16</v>
      </c>
      <c r="D72">
        <v>33</v>
      </c>
      <c r="E72" s="1" t="s">
        <v>162</v>
      </c>
      <c r="F72" s="1" t="s">
        <v>163</v>
      </c>
      <c r="G72" s="1" t="s">
        <v>27</v>
      </c>
      <c r="H72">
        <v>11</v>
      </c>
      <c r="K72" t="s">
        <v>76</v>
      </c>
      <c r="L72">
        <v>0.84</v>
      </c>
      <c r="M72" s="1" t="s">
        <v>20</v>
      </c>
      <c r="N72" s="1" t="s">
        <v>65</v>
      </c>
      <c r="O72">
        <v>6</v>
      </c>
      <c r="P72">
        <v>3</v>
      </c>
      <c r="Q72" t="str">
        <f t="shared" si="6"/>
        <v>YVONNE BERG</v>
      </c>
      <c r="R72" t="str">
        <f t="shared" si="7"/>
        <v>south africa</v>
      </c>
      <c r="S72" t="str">
        <f>PROPER(global_freelancer_raw[[#This Row],[NAME UPPER]])</f>
        <v>Yvonne Berg</v>
      </c>
      <c r="T72" t="str">
        <f t="shared" si="8"/>
        <v>So</v>
      </c>
      <c r="U72" t="str">
        <f t="shared" si="5"/>
        <v>ne Ber</v>
      </c>
      <c r="V72" t="str">
        <f t="shared" si="9"/>
        <v>71</v>
      </c>
    </row>
    <row r="73" spans="1:22" x14ac:dyDescent="0.3">
      <c r="A73" s="1" t="s">
        <v>234</v>
      </c>
      <c r="B73" s="1" t="s">
        <v>235</v>
      </c>
      <c r="C73" s="1" t="s">
        <v>101</v>
      </c>
      <c r="D73">
        <v>60</v>
      </c>
      <c r="E73" s="1" t="s">
        <v>17</v>
      </c>
      <c r="F73" s="1" t="s">
        <v>18</v>
      </c>
      <c r="G73" s="1" t="s">
        <v>98</v>
      </c>
      <c r="H73">
        <v>13</v>
      </c>
      <c r="I73" t="s">
        <v>107</v>
      </c>
      <c r="J73">
        <v>1</v>
      </c>
      <c r="K73" t="b">
        <v>0</v>
      </c>
      <c r="M73" s="1" t="s">
        <v>72</v>
      </c>
      <c r="N73" s="1" t="s">
        <v>21</v>
      </c>
      <c r="O73">
        <v>15</v>
      </c>
      <c r="P73">
        <v>1</v>
      </c>
      <c r="Q73" t="str">
        <f t="shared" si="6"/>
        <v>THOMAS MILLER</v>
      </c>
      <c r="R73" t="str">
        <f t="shared" si="7"/>
        <v>italy</v>
      </c>
      <c r="S73" t="str">
        <f>PROPER(global_freelancer_raw[[#This Row],[NAME UPPER]])</f>
        <v>Thomas Miller</v>
      </c>
      <c r="T73" t="str">
        <f t="shared" si="8"/>
        <v>It</v>
      </c>
      <c r="U73" t="str">
        <f t="shared" si="5"/>
        <v>as Mil</v>
      </c>
      <c r="V73" t="str">
        <f t="shared" si="9"/>
        <v>72</v>
      </c>
    </row>
    <row r="74" spans="1:22" x14ac:dyDescent="0.3">
      <c r="A74" s="1" t="s">
        <v>236</v>
      </c>
      <c r="B74" s="1" t="s">
        <v>237</v>
      </c>
      <c r="C74" s="1" t="s">
        <v>68</v>
      </c>
      <c r="D74">
        <v>40</v>
      </c>
      <c r="E74" s="1" t="s">
        <v>64</v>
      </c>
      <c r="F74" s="1" t="s">
        <v>26</v>
      </c>
      <c r="G74" s="1" t="s">
        <v>40</v>
      </c>
      <c r="H74">
        <v>9</v>
      </c>
      <c r="I74" t="s">
        <v>238</v>
      </c>
      <c r="J74">
        <v>4.5</v>
      </c>
      <c r="K74" t="s">
        <v>76</v>
      </c>
      <c r="L74">
        <v>0.69</v>
      </c>
      <c r="M74" s="1" t="s">
        <v>72</v>
      </c>
      <c r="N74" s="1" t="s">
        <v>65</v>
      </c>
      <c r="O74">
        <v>11</v>
      </c>
      <c r="P74">
        <v>10</v>
      </c>
      <c r="Q74" t="str">
        <f t="shared" si="6"/>
        <v>NICHOLAS BURTON</v>
      </c>
      <c r="R74" t="str">
        <f t="shared" si="7"/>
        <v>us</v>
      </c>
      <c r="S74" t="str">
        <f>PROPER(global_freelancer_raw[[#This Row],[NAME UPPER]])</f>
        <v>Nicholas Burton</v>
      </c>
      <c r="T74" t="str">
        <f t="shared" si="8"/>
        <v>US</v>
      </c>
      <c r="U74" t="str">
        <f t="shared" si="5"/>
        <v>olas B</v>
      </c>
      <c r="V74" t="str">
        <f t="shared" si="9"/>
        <v>73</v>
      </c>
    </row>
    <row r="75" spans="1:22" x14ac:dyDescent="0.3">
      <c r="A75" s="1" t="s">
        <v>239</v>
      </c>
      <c r="B75" s="1" t="s">
        <v>240</v>
      </c>
      <c r="C75" s="1" t="s">
        <v>106</v>
      </c>
      <c r="D75">
        <v>59</v>
      </c>
      <c r="E75" s="1" t="s">
        <v>25</v>
      </c>
      <c r="F75" s="1" t="s">
        <v>26</v>
      </c>
      <c r="G75" s="1" t="s">
        <v>19</v>
      </c>
      <c r="H75">
        <v>4</v>
      </c>
      <c r="J75">
        <v>1.9</v>
      </c>
      <c r="K75" t="b">
        <v>0</v>
      </c>
      <c r="L75">
        <v>88</v>
      </c>
      <c r="M75" s="1" t="s">
        <v>77</v>
      </c>
      <c r="N75" s="1" t="s">
        <v>36</v>
      </c>
      <c r="O75">
        <v>5</v>
      </c>
      <c r="P75">
        <v>1</v>
      </c>
      <c r="Q75" t="str">
        <f t="shared" si="6"/>
        <v>JORGE RILEY</v>
      </c>
      <c r="R75" t="str">
        <f t="shared" si="7"/>
        <v>australia</v>
      </c>
      <c r="S75" t="str">
        <f>PROPER(global_freelancer_raw[[#This Row],[NAME UPPER]])</f>
        <v>Jorge Riley</v>
      </c>
      <c r="T75" t="str">
        <f t="shared" si="8"/>
        <v>Au</v>
      </c>
      <c r="U75" t="str">
        <f t="shared" si="5"/>
        <v>e Rile</v>
      </c>
      <c r="V75" t="str">
        <f t="shared" si="9"/>
        <v>74</v>
      </c>
    </row>
    <row r="76" spans="1:22" x14ac:dyDescent="0.3">
      <c r="A76" s="1" t="s">
        <v>241</v>
      </c>
      <c r="B76" s="1" t="s">
        <v>242</v>
      </c>
      <c r="C76" s="1" t="s">
        <v>101</v>
      </c>
      <c r="D76">
        <v>36</v>
      </c>
      <c r="E76" s="1"/>
      <c r="F76" s="1" t="s">
        <v>18</v>
      </c>
      <c r="G76" s="1" t="s">
        <v>123</v>
      </c>
      <c r="H76">
        <v>14</v>
      </c>
      <c r="I76" t="s">
        <v>238</v>
      </c>
      <c r="J76">
        <v>3.7</v>
      </c>
      <c r="K76">
        <v>0</v>
      </c>
      <c r="M76" s="1" t="s">
        <v>20</v>
      </c>
      <c r="N76" s="1" t="s">
        <v>29</v>
      </c>
      <c r="O76">
        <v>9</v>
      </c>
      <c r="P76">
        <v>5</v>
      </c>
      <c r="Q76" t="str">
        <f t="shared" si="6"/>
        <v>MELVIN HARRIS</v>
      </c>
      <c r="R76" t="str">
        <f t="shared" si="7"/>
        <v/>
      </c>
      <c r="S76" t="str">
        <f>PROPER(global_freelancer_raw[[#This Row],[NAME UPPER]])</f>
        <v>Melvin Harris</v>
      </c>
      <c r="T76" t="str">
        <f t="shared" si="8"/>
        <v/>
      </c>
      <c r="U76" t="str">
        <f t="shared" si="5"/>
        <v>in Har</v>
      </c>
      <c r="V76" t="str">
        <f t="shared" si="9"/>
        <v>75</v>
      </c>
    </row>
    <row r="77" spans="1:22" x14ac:dyDescent="0.3">
      <c r="A77" s="1" t="s">
        <v>243</v>
      </c>
      <c r="B77" s="1" t="s">
        <v>244</v>
      </c>
      <c r="C77" s="1" t="s">
        <v>106</v>
      </c>
      <c r="D77">
        <v>32</v>
      </c>
      <c r="E77" s="1" t="s">
        <v>102</v>
      </c>
      <c r="F77" s="1" t="s">
        <v>103</v>
      </c>
      <c r="G77" s="1" t="s">
        <v>57</v>
      </c>
      <c r="I77">
        <v>30</v>
      </c>
      <c r="J77">
        <v>1.9</v>
      </c>
      <c r="K77" t="b">
        <v>1</v>
      </c>
      <c r="L77">
        <v>0.96</v>
      </c>
      <c r="M77" s="1" t="s">
        <v>51</v>
      </c>
      <c r="N77" s="1" t="s">
        <v>29</v>
      </c>
      <c r="O77">
        <v>2</v>
      </c>
      <c r="P77">
        <v>2</v>
      </c>
      <c r="Q77" t="str">
        <f t="shared" si="6"/>
        <v>JEREMY MEYER</v>
      </c>
      <c r="R77" t="str">
        <f t="shared" si="7"/>
        <v>india</v>
      </c>
      <c r="S77" t="str">
        <f>PROPER(global_freelancer_raw[[#This Row],[NAME UPPER]])</f>
        <v>Jeremy Meyer</v>
      </c>
      <c r="T77" t="str">
        <f t="shared" si="8"/>
        <v>In</v>
      </c>
      <c r="U77" t="str">
        <f t="shared" si="5"/>
        <v>my Mey</v>
      </c>
      <c r="V77" t="str">
        <f t="shared" si="9"/>
        <v>76</v>
      </c>
    </row>
    <row r="78" spans="1:22" x14ac:dyDescent="0.3">
      <c r="A78" s="1" t="s">
        <v>245</v>
      </c>
      <c r="B78" s="1" t="s">
        <v>246</v>
      </c>
      <c r="C78" s="1" t="s">
        <v>32</v>
      </c>
      <c r="D78">
        <v>59</v>
      </c>
      <c r="E78" s="1" t="s">
        <v>25</v>
      </c>
      <c r="F78" s="1" t="s">
        <v>26</v>
      </c>
      <c r="G78" s="1" t="s">
        <v>49</v>
      </c>
      <c r="H78">
        <v>9</v>
      </c>
      <c r="I78" t="s">
        <v>58</v>
      </c>
      <c r="J78">
        <v>4</v>
      </c>
      <c r="K78">
        <v>1</v>
      </c>
      <c r="L78">
        <v>96</v>
      </c>
      <c r="M78" s="1" t="s">
        <v>72</v>
      </c>
      <c r="N78" s="1" t="s">
        <v>36</v>
      </c>
      <c r="O78">
        <v>14</v>
      </c>
      <c r="P78">
        <v>5</v>
      </c>
      <c r="Q78" t="str">
        <f t="shared" si="6"/>
        <v>TIMOTHY LEE</v>
      </c>
      <c r="R78" t="str">
        <f t="shared" si="7"/>
        <v>australia</v>
      </c>
      <c r="S78" t="str">
        <f>PROPER(global_freelancer_raw[[#This Row],[NAME UPPER]])</f>
        <v>Timothy Lee</v>
      </c>
      <c r="T78" t="str">
        <f t="shared" si="8"/>
        <v>Au</v>
      </c>
      <c r="U78" t="str">
        <f t="shared" si="5"/>
        <v>thy Le</v>
      </c>
      <c r="V78" t="str">
        <f t="shared" si="9"/>
        <v>77</v>
      </c>
    </row>
    <row r="79" spans="1:22" x14ac:dyDescent="0.3">
      <c r="A79" s="1" t="s">
        <v>247</v>
      </c>
      <c r="B79" s="1" t="s">
        <v>248</v>
      </c>
      <c r="C79" s="1" t="s">
        <v>39</v>
      </c>
      <c r="D79">
        <v>54</v>
      </c>
      <c r="E79" s="1" t="s">
        <v>199</v>
      </c>
      <c r="F79" s="1" t="s">
        <v>81</v>
      </c>
      <c r="G79" s="1" t="s">
        <v>98</v>
      </c>
      <c r="H79">
        <v>32</v>
      </c>
      <c r="I79" t="s">
        <v>61</v>
      </c>
      <c r="J79">
        <v>1.8</v>
      </c>
      <c r="K79" t="s">
        <v>35</v>
      </c>
      <c r="M79" s="1" t="s">
        <v>20</v>
      </c>
      <c r="N79" s="1" t="s">
        <v>21</v>
      </c>
      <c r="O79">
        <v>10</v>
      </c>
      <c r="P79">
        <v>7</v>
      </c>
      <c r="Q79" t="str">
        <f t="shared" si="6"/>
        <v>DIANA BAUTISTA</v>
      </c>
      <c r="R79" t="str">
        <f t="shared" si="7"/>
        <v>spain</v>
      </c>
      <c r="S79" t="str">
        <f>PROPER(global_freelancer_raw[[#This Row],[NAME UPPER]])</f>
        <v>Diana Bautista</v>
      </c>
      <c r="T79" t="str">
        <f t="shared" si="8"/>
        <v>Sp</v>
      </c>
      <c r="U79" t="str">
        <f t="shared" si="5"/>
        <v>a Baut</v>
      </c>
      <c r="V79" t="str">
        <f t="shared" si="9"/>
        <v>78</v>
      </c>
    </row>
    <row r="80" spans="1:22" x14ac:dyDescent="0.3">
      <c r="A80" s="1" t="s">
        <v>249</v>
      </c>
      <c r="B80" s="1" t="s">
        <v>250</v>
      </c>
      <c r="C80" s="1" t="s">
        <v>16</v>
      </c>
      <c r="D80">
        <v>37</v>
      </c>
      <c r="E80" s="1" t="s">
        <v>137</v>
      </c>
      <c r="F80" s="1" t="s">
        <v>26</v>
      </c>
      <c r="G80" s="1" t="s">
        <v>34</v>
      </c>
      <c r="H80">
        <v>9</v>
      </c>
      <c r="J80">
        <v>0</v>
      </c>
      <c r="K80">
        <v>1</v>
      </c>
      <c r="L80">
        <v>0.89</v>
      </c>
      <c r="M80" s="1" t="s">
        <v>77</v>
      </c>
      <c r="N80" s="1" t="s">
        <v>21</v>
      </c>
      <c r="O80">
        <v>14</v>
      </c>
      <c r="P80">
        <v>6</v>
      </c>
      <c r="Q80" t="str">
        <f t="shared" si="6"/>
        <v>LESLIE RODRIGUEZ</v>
      </c>
      <c r="R80" t="str">
        <f t="shared" si="7"/>
        <v>canada</v>
      </c>
      <c r="S80" t="str">
        <f>PROPER(global_freelancer_raw[[#This Row],[NAME UPPER]])</f>
        <v>Leslie Rodriguez</v>
      </c>
      <c r="T80" t="str">
        <f t="shared" si="8"/>
        <v>Ca</v>
      </c>
      <c r="U80" t="str">
        <f t="shared" si="5"/>
        <v>ie Rod</v>
      </c>
      <c r="V80" t="str">
        <f t="shared" si="9"/>
        <v>79</v>
      </c>
    </row>
    <row r="81" spans="1:22" x14ac:dyDescent="0.3">
      <c r="A81" s="1" t="s">
        <v>251</v>
      </c>
      <c r="B81" s="1" t="s">
        <v>252</v>
      </c>
      <c r="C81" s="1" t="s">
        <v>68</v>
      </c>
      <c r="D81">
        <v>54</v>
      </c>
      <c r="E81" s="1" t="s">
        <v>102</v>
      </c>
      <c r="F81" s="1" t="s">
        <v>103</v>
      </c>
      <c r="G81" s="1" t="s">
        <v>123</v>
      </c>
      <c r="H81">
        <v>21</v>
      </c>
      <c r="I81" t="s">
        <v>238</v>
      </c>
      <c r="J81">
        <v>4.5999999999999996</v>
      </c>
      <c r="K81" t="b">
        <v>0</v>
      </c>
      <c r="M81" s="1" t="s">
        <v>51</v>
      </c>
      <c r="N81" s="1" t="s">
        <v>29</v>
      </c>
      <c r="O81">
        <v>20</v>
      </c>
      <c r="P81">
        <v>3</v>
      </c>
      <c r="Q81" t="str">
        <f t="shared" si="6"/>
        <v>NOAH WIGGINS</v>
      </c>
      <c r="R81" t="str">
        <f t="shared" si="7"/>
        <v>india</v>
      </c>
      <c r="S81" t="str">
        <f>PROPER(global_freelancer_raw[[#This Row],[NAME UPPER]])</f>
        <v>Noah Wiggins</v>
      </c>
      <c r="T81" t="str">
        <f t="shared" si="8"/>
        <v>In</v>
      </c>
      <c r="U81" t="str">
        <f t="shared" si="5"/>
        <v xml:space="preserve"> Wiggi</v>
      </c>
      <c r="V81" t="str">
        <f t="shared" si="9"/>
        <v>80</v>
      </c>
    </row>
    <row r="82" spans="1:22" x14ac:dyDescent="0.3">
      <c r="A82" s="1" t="s">
        <v>253</v>
      </c>
      <c r="B82" s="1" t="s">
        <v>254</v>
      </c>
      <c r="C82" s="1" t="s">
        <v>86</v>
      </c>
      <c r="D82">
        <v>33</v>
      </c>
      <c r="E82" s="1" t="s">
        <v>80</v>
      </c>
      <c r="F82" s="1" t="s">
        <v>81</v>
      </c>
      <c r="G82" s="1" t="s">
        <v>82</v>
      </c>
      <c r="H82">
        <v>12</v>
      </c>
      <c r="I82">
        <v>100</v>
      </c>
      <c r="J82">
        <v>3.6</v>
      </c>
      <c r="K82">
        <v>0</v>
      </c>
      <c r="L82">
        <v>0.63</v>
      </c>
      <c r="M82" s="1" t="s">
        <v>20</v>
      </c>
      <c r="N82" s="1" t="s">
        <v>65</v>
      </c>
      <c r="O82">
        <v>10</v>
      </c>
      <c r="P82">
        <v>2</v>
      </c>
      <c r="Q82" t="str">
        <f t="shared" si="6"/>
        <v>BRIDGET WILLIAMS</v>
      </c>
      <c r="R82" t="str">
        <f t="shared" si="7"/>
        <v>argentina</v>
      </c>
      <c r="S82" t="str">
        <f>PROPER(global_freelancer_raw[[#This Row],[NAME UPPER]])</f>
        <v>Bridget Williams</v>
      </c>
      <c r="T82" t="str">
        <f t="shared" si="8"/>
        <v>Ar</v>
      </c>
      <c r="U82" t="str">
        <f t="shared" si="5"/>
        <v>get Wi</v>
      </c>
      <c r="V82" t="str">
        <f t="shared" si="9"/>
        <v>81</v>
      </c>
    </row>
    <row r="83" spans="1:22" x14ac:dyDescent="0.3">
      <c r="A83" s="1" t="s">
        <v>255</v>
      </c>
      <c r="B83" s="1" t="s">
        <v>256</v>
      </c>
      <c r="C83" s="1" t="s">
        <v>16</v>
      </c>
      <c r="D83">
        <v>25</v>
      </c>
      <c r="E83" s="1" t="s">
        <v>148</v>
      </c>
      <c r="F83" s="1" t="s">
        <v>149</v>
      </c>
      <c r="G83" s="1" t="s">
        <v>40</v>
      </c>
      <c r="H83">
        <v>7</v>
      </c>
      <c r="I83" t="s">
        <v>61</v>
      </c>
      <c r="J83">
        <v>4.4000000000000004</v>
      </c>
      <c r="L83">
        <v>81</v>
      </c>
      <c r="M83" s="1" t="s">
        <v>51</v>
      </c>
      <c r="N83" s="1" t="s">
        <v>21</v>
      </c>
      <c r="O83">
        <v>11</v>
      </c>
      <c r="P83">
        <v>8</v>
      </c>
      <c r="Q83" t="str">
        <f t="shared" si="6"/>
        <v>VERONICA BAKER</v>
      </c>
      <c r="R83" t="str">
        <f t="shared" si="7"/>
        <v>egypt</v>
      </c>
      <c r="S83" t="str">
        <f>PROPER(global_freelancer_raw[[#This Row],[NAME UPPER]])</f>
        <v>Veronica Baker</v>
      </c>
      <c r="T83" t="str">
        <f t="shared" si="8"/>
        <v>Eg</v>
      </c>
      <c r="U83" t="str">
        <f t="shared" si="5"/>
        <v>nica B</v>
      </c>
      <c r="V83" t="str">
        <f t="shared" si="9"/>
        <v>82</v>
      </c>
    </row>
    <row r="84" spans="1:22" x14ac:dyDescent="0.3">
      <c r="A84" s="1" t="s">
        <v>257</v>
      </c>
      <c r="B84" s="1" t="s">
        <v>258</v>
      </c>
      <c r="C84" s="1" t="s">
        <v>106</v>
      </c>
      <c r="E84" s="1" t="s">
        <v>184</v>
      </c>
      <c r="F84" s="1" t="s">
        <v>185</v>
      </c>
      <c r="G84" s="1" t="s">
        <v>98</v>
      </c>
      <c r="H84">
        <v>3</v>
      </c>
      <c r="I84">
        <v>40</v>
      </c>
      <c r="J84">
        <v>4.5999999999999996</v>
      </c>
      <c r="K84" t="s">
        <v>35</v>
      </c>
      <c r="L84">
        <v>0.74</v>
      </c>
      <c r="M84" s="1" t="s">
        <v>51</v>
      </c>
      <c r="N84" s="1" t="s">
        <v>21</v>
      </c>
      <c r="O84">
        <v>1</v>
      </c>
      <c r="P84">
        <v>1</v>
      </c>
      <c r="Q84" t="str">
        <f t="shared" si="6"/>
        <v>ANDREW AVILA</v>
      </c>
      <c r="R84" t="str">
        <f t="shared" si="7"/>
        <v>china</v>
      </c>
      <c r="S84" t="str">
        <f>PROPER(global_freelancer_raw[[#This Row],[NAME UPPER]])</f>
        <v>Andrew Avila</v>
      </c>
      <c r="T84" t="str">
        <f t="shared" si="8"/>
        <v>Ch</v>
      </c>
      <c r="U84" t="str">
        <f t="shared" si="5"/>
        <v>ew Avi</v>
      </c>
      <c r="V84" t="str">
        <f t="shared" si="9"/>
        <v>83</v>
      </c>
    </row>
    <row r="85" spans="1:22" x14ac:dyDescent="0.3">
      <c r="A85" s="1" t="s">
        <v>259</v>
      </c>
      <c r="B85" s="1" t="s">
        <v>260</v>
      </c>
      <c r="C85" s="1" t="s">
        <v>32</v>
      </c>
      <c r="D85">
        <v>35</v>
      </c>
      <c r="E85" s="1" t="s">
        <v>121</v>
      </c>
      <c r="F85" s="1" t="s">
        <v>122</v>
      </c>
      <c r="G85" s="1" t="s">
        <v>40</v>
      </c>
      <c r="H85">
        <v>5</v>
      </c>
      <c r="I85" t="s">
        <v>179</v>
      </c>
      <c r="J85">
        <v>3.2</v>
      </c>
      <c r="K85" t="b">
        <v>0</v>
      </c>
      <c r="L85">
        <v>0.72</v>
      </c>
      <c r="M85" s="1" t="s">
        <v>51</v>
      </c>
      <c r="N85" s="1" t="s">
        <v>36</v>
      </c>
      <c r="O85">
        <v>2</v>
      </c>
      <c r="P85">
        <v>1</v>
      </c>
      <c r="Q85" t="str">
        <f t="shared" si="6"/>
        <v>MICHAEL ROBERSON</v>
      </c>
      <c r="R85" t="str">
        <f t="shared" si="7"/>
        <v>south korea</v>
      </c>
      <c r="S85" t="str">
        <f>PROPER(global_freelancer_raw[[#This Row],[NAME UPPER]])</f>
        <v>Michael Roberson</v>
      </c>
      <c r="T85" t="str">
        <f t="shared" si="8"/>
        <v>So</v>
      </c>
      <c r="U85" t="str">
        <f t="shared" si="5"/>
        <v>ael Ro</v>
      </c>
      <c r="V85" t="str">
        <f t="shared" si="9"/>
        <v>84</v>
      </c>
    </row>
    <row r="86" spans="1:22" x14ac:dyDescent="0.3">
      <c r="A86" s="1" t="s">
        <v>261</v>
      </c>
      <c r="B86" s="1" t="s">
        <v>262</v>
      </c>
      <c r="C86" s="1" t="s">
        <v>106</v>
      </c>
      <c r="D86">
        <v>59</v>
      </c>
      <c r="E86" s="1" t="s">
        <v>121</v>
      </c>
      <c r="F86" s="1" t="s">
        <v>122</v>
      </c>
      <c r="G86" s="1" t="s">
        <v>49</v>
      </c>
      <c r="H86">
        <v>30</v>
      </c>
      <c r="I86" t="s">
        <v>41</v>
      </c>
      <c r="J86">
        <v>0</v>
      </c>
      <c r="K86" t="b">
        <v>1</v>
      </c>
      <c r="M86" s="1" t="s">
        <v>72</v>
      </c>
      <c r="N86" s="1" t="s">
        <v>36</v>
      </c>
      <c r="O86">
        <v>13</v>
      </c>
      <c r="P86">
        <v>13</v>
      </c>
      <c r="Q86" t="str">
        <f t="shared" si="6"/>
        <v>AUSTIN JENKINS</v>
      </c>
      <c r="R86" t="str">
        <f t="shared" si="7"/>
        <v>south korea</v>
      </c>
      <c r="S86" t="str">
        <f>PROPER(global_freelancer_raw[[#This Row],[NAME UPPER]])</f>
        <v>Austin Jenkins</v>
      </c>
      <c r="T86" t="str">
        <f t="shared" si="8"/>
        <v>So</v>
      </c>
      <c r="U86" t="str">
        <f t="shared" si="5"/>
        <v>in Jen</v>
      </c>
      <c r="V86" t="str">
        <f t="shared" si="9"/>
        <v>85</v>
      </c>
    </row>
    <row r="87" spans="1:22" x14ac:dyDescent="0.3">
      <c r="A87" s="1" t="s">
        <v>263</v>
      </c>
      <c r="B87" s="1" t="s">
        <v>264</v>
      </c>
      <c r="C87" s="1" t="s">
        <v>44</v>
      </c>
      <c r="D87">
        <v>21</v>
      </c>
      <c r="E87" s="1" t="s">
        <v>184</v>
      </c>
      <c r="F87" s="1" t="s">
        <v>185</v>
      </c>
      <c r="G87" s="1" t="s">
        <v>98</v>
      </c>
      <c r="H87">
        <v>2</v>
      </c>
      <c r="I87">
        <v>100</v>
      </c>
      <c r="J87">
        <v>2.6</v>
      </c>
      <c r="K87" t="s">
        <v>83</v>
      </c>
      <c r="L87">
        <v>0.85</v>
      </c>
      <c r="M87" s="1" t="s">
        <v>72</v>
      </c>
      <c r="N87" s="1" t="s">
        <v>65</v>
      </c>
      <c r="O87">
        <v>5</v>
      </c>
      <c r="P87">
        <v>3</v>
      </c>
      <c r="Q87" t="str">
        <f t="shared" si="6"/>
        <v>BRENDA GREEN</v>
      </c>
      <c r="R87" t="str">
        <f t="shared" si="7"/>
        <v>china</v>
      </c>
      <c r="S87" t="str">
        <f>PROPER(global_freelancer_raw[[#This Row],[NAME UPPER]])</f>
        <v>Brenda Green</v>
      </c>
      <c r="T87" t="str">
        <f t="shared" si="8"/>
        <v>Ch</v>
      </c>
      <c r="U87" t="str">
        <f t="shared" si="5"/>
        <v>da Gre</v>
      </c>
      <c r="V87" t="str">
        <f t="shared" si="9"/>
        <v>86</v>
      </c>
    </row>
    <row r="88" spans="1:22" x14ac:dyDescent="0.3">
      <c r="A88" s="1" t="s">
        <v>265</v>
      </c>
      <c r="B88" s="1" t="s">
        <v>266</v>
      </c>
      <c r="C88" s="1" t="s">
        <v>101</v>
      </c>
      <c r="D88">
        <v>25</v>
      </c>
      <c r="E88" s="1" t="s">
        <v>64</v>
      </c>
      <c r="F88" s="1" t="s">
        <v>26</v>
      </c>
      <c r="G88" s="1" t="s">
        <v>27</v>
      </c>
      <c r="H88">
        <v>2</v>
      </c>
      <c r="I88" t="s">
        <v>179</v>
      </c>
      <c r="J88">
        <v>3.7</v>
      </c>
      <c r="K88" t="s">
        <v>35</v>
      </c>
      <c r="M88" s="1" t="s">
        <v>77</v>
      </c>
      <c r="N88" s="1" t="s">
        <v>21</v>
      </c>
      <c r="O88">
        <v>1</v>
      </c>
      <c r="P88">
        <v>1</v>
      </c>
      <c r="Q88" t="str">
        <f t="shared" si="6"/>
        <v>SAMUEL PIERCE</v>
      </c>
      <c r="R88" t="str">
        <f t="shared" si="7"/>
        <v>us</v>
      </c>
      <c r="S88" t="str">
        <f>PROPER(global_freelancer_raw[[#This Row],[NAME UPPER]])</f>
        <v>Samuel Pierce</v>
      </c>
      <c r="T88" t="str">
        <f t="shared" si="8"/>
        <v>US</v>
      </c>
      <c r="U88" t="str">
        <f t="shared" si="5"/>
        <v>el Pie</v>
      </c>
      <c r="V88" t="str">
        <f t="shared" si="9"/>
        <v>87</v>
      </c>
    </row>
    <row r="89" spans="1:22" x14ac:dyDescent="0.3">
      <c r="A89" s="1" t="s">
        <v>267</v>
      </c>
      <c r="B89" s="1" t="s">
        <v>268</v>
      </c>
      <c r="C89" s="1" t="s">
        <v>16</v>
      </c>
      <c r="D89">
        <v>38</v>
      </c>
      <c r="E89" s="1" t="s">
        <v>188</v>
      </c>
      <c r="F89" s="1" t="s">
        <v>81</v>
      </c>
      <c r="G89" s="1" t="s">
        <v>40</v>
      </c>
      <c r="H89">
        <v>19</v>
      </c>
      <c r="I89">
        <v>75</v>
      </c>
      <c r="J89">
        <v>2.2999999999999998</v>
      </c>
      <c r="K89" t="b">
        <v>0</v>
      </c>
      <c r="L89">
        <v>0.61</v>
      </c>
      <c r="M89" s="1" t="s">
        <v>77</v>
      </c>
      <c r="N89" s="1" t="s">
        <v>21</v>
      </c>
      <c r="O89">
        <v>20</v>
      </c>
      <c r="P89">
        <v>9</v>
      </c>
      <c r="Q89" t="str">
        <f t="shared" si="6"/>
        <v>BRIANA SMITH</v>
      </c>
      <c r="R89" t="str">
        <f t="shared" si="7"/>
        <v>mexico</v>
      </c>
      <c r="S89" t="str">
        <f>PROPER(global_freelancer_raw[[#This Row],[NAME UPPER]])</f>
        <v>Briana Smith</v>
      </c>
      <c r="T89" t="str">
        <f t="shared" si="8"/>
        <v>Me</v>
      </c>
      <c r="U89" t="str">
        <f t="shared" si="5"/>
        <v>na Smi</v>
      </c>
      <c r="V89" t="str">
        <f t="shared" si="9"/>
        <v>88</v>
      </c>
    </row>
    <row r="90" spans="1:22" x14ac:dyDescent="0.3">
      <c r="A90" s="1" t="s">
        <v>269</v>
      </c>
      <c r="B90" s="1" t="s">
        <v>270</v>
      </c>
      <c r="C90" s="1" t="s">
        <v>106</v>
      </c>
      <c r="D90">
        <v>57</v>
      </c>
      <c r="E90" s="1" t="s">
        <v>133</v>
      </c>
      <c r="F90" s="1" t="s">
        <v>134</v>
      </c>
      <c r="G90" s="1" t="s">
        <v>49</v>
      </c>
      <c r="H90">
        <v>16</v>
      </c>
      <c r="I90">
        <v>100</v>
      </c>
      <c r="J90">
        <v>3.1</v>
      </c>
      <c r="K90" t="b">
        <v>0</v>
      </c>
      <c r="M90" s="1" t="s">
        <v>20</v>
      </c>
      <c r="N90" s="1" t="s">
        <v>36</v>
      </c>
      <c r="O90">
        <v>18</v>
      </c>
      <c r="P90">
        <v>4</v>
      </c>
      <c r="Q90" t="str">
        <f t="shared" si="6"/>
        <v>RONALD BARRETT</v>
      </c>
      <c r="R90" t="str">
        <f t="shared" si="7"/>
        <v>russia</v>
      </c>
      <c r="S90" t="str">
        <f>PROPER(global_freelancer_raw[[#This Row],[NAME UPPER]])</f>
        <v>Ronald Barrett</v>
      </c>
      <c r="T90" t="str">
        <f t="shared" si="8"/>
        <v>Ru</v>
      </c>
      <c r="U90" t="str">
        <f t="shared" si="5"/>
        <v>ld Bar</v>
      </c>
      <c r="V90" t="str">
        <f t="shared" si="9"/>
        <v>89</v>
      </c>
    </row>
    <row r="91" spans="1:22" x14ac:dyDescent="0.3">
      <c r="A91" s="1" t="s">
        <v>271</v>
      </c>
      <c r="B91" s="1" t="s">
        <v>272</v>
      </c>
      <c r="C91" s="1" t="s">
        <v>54</v>
      </c>
      <c r="D91">
        <v>32</v>
      </c>
      <c r="E91" s="1" t="s">
        <v>102</v>
      </c>
      <c r="F91" s="1" t="s">
        <v>103</v>
      </c>
      <c r="G91" s="1" t="s">
        <v>27</v>
      </c>
      <c r="H91">
        <v>10</v>
      </c>
      <c r="I91" t="s">
        <v>130</v>
      </c>
      <c r="J91">
        <v>2.4</v>
      </c>
      <c r="K91">
        <v>0</v>
      </c>
      <c r="L91">
        <v>0.86</v>
      </c>
      <c r="M91" s="1" t="s">
        <v>77</v>
      </c>
      <c r="N91" s="1" t="s">
        <v>21</v>
      </c>
      <c r="O91">
        <v>9</v>
      </c>
      <c r="P91">
        <v>3</v>
      </c>
      <c r="Q91" t="str">
        <f t="shared" si="6"/>
        <v>MATTHEW SMITH</v>
      </c>
      <c r="R91" t="str">
        <f t="shared" si="7"/>
        <v>india</v>
      </c>
      <c r="S91" t="str">
        <f>PROPER(global_freelancer_raw[[#This Row],[NAME UPPER]])</f>
        <v>Matthew Smith</v>
      </c>
      <c r="T91" t="str">
        <f t="shared" si="8"/>
        <v>In</v>
      </c>
      <c r="U91" t="str">
        <f t="shared" si="5"/>
        <v>hew Sm</v>
      </c>
      <c r="V91" t="str">
        <f t="shared" si="9"/>
        <v>90</v>
      </c>
    </row>
    <row r="92" spans="1:22" x14ac:dyDescent="0.3">
      <c r="A92" s="1" t="s">
        <v>273</v>
      </c>
      <c r="B92" s="1" t="s">
        <v>274</v>
      </c>
      <c r="C92" s="1" t="s">
        <v>32</v>
      </c>
      <c r="D92">
        <v>21</v>
      </c>
      <c r="E92" s="1" t="s">
        <v>17</v>
      </c>
      <c r="F92" s="1" t="s">
        <v>18</v>
      </c>
      <c r="G92" s="1" t="s">
        <v>98</v>
      </c>
      <c r="H92">
        <v>2</v>
      </c>
      <c r="I92" t="s">
        <v>28</v>
      </c>
      <c r="J92">
        <v>1.6</v>
      </c>
      <c r="K92" t="s">
        <v>76</v>
      </c>
      <c r="L92">
        <v>0.97</v>
      </c>
      <c r="M92" s="1" t="s">
        <v>51</v>
      </c>
      <c r="N92" s="1" t="s">
        <v>29</v>
      </c>
      <c r="O92">
        <v>4</v>
      </c>
      <c r="P92">
        <v>2</v>
      </c>
      <c r="Q92" t="str">
        <f t="shared" si="6"/>
        <v>LOGAN HUANG</v>
      </c>
      <c r="R92" t="str">
        <f t="shared" si="7"/>
        <v>italy</v>
      </c>
      <c r="S92" t="str">
        <f>PROPER(global_freelancer_raw[[#This Row],[NAME UPPER]])</f>
        <v>Logan Huang</v>
      </c>
      <c r="T92" t="str">
        <f t="shared" si="8"/>
        <v>It</v>
      </c>
      <c r="U92" t="str">
        <f t="shared" si="5"/>
        <v>n Huan</v>
      </c>
      <c r="V92" t="str">
        <f t="shared" si="9"/>
        <v>91</v>
      </c>
    </row>
    <row r="93" spans="1:22" x14ac:dyDescent="0.3">
      <c r="A93" s="1" t="s">
        <v>275</v>
      </c>
      <c r="B93" s="1" t="s">
        <v>276</v>
      </c>
      <c r="C93" s="1" t="s">
        <v>86</v>
      </c>
      <c r="D93">
        <v>57</v>
      </c>
      <c r="E93" s="1" t="s">
        <v>137</v>
      </c>
      <c r="F93" s="1" t="s">
        <v>26</v>
      </c>
      <c r="G93" s="1" t="s">
        <v>87</v>
      </c>
      <c r="H93">
        <v>18</v>
      </c>
      <c r="I93">
        <v>50</v>
      </c>
      <c r="J93">
        <v>2.4</v>
      </c>
      <c r="K93">
        <v>1</v>
      </c>
      <c r="L93">
        <v>0.63</v>
      </c>
      <c r="M93" s="1" t="s">
        <v>51</v>
      </c>
      <c r="N93" s="1" t="s">
        <v>36</v>
      </c>
      <c r="O93">
        <v>11</v>
      </c>
      <c r="P93">
        <v>9</v>
      </c>
      <c r="Q93" t="str">
        <f t="shared" si="6"/>
        <v>MIRANDA HUTCHINSON</v>
      </c>
      <c r="R93" t="str">
        <f t="shared" si="7"/>
        <v>canada</v>
      </c>
      <c r="S93" t="str">
        <f>PROPER(global_freelancer_raw[[#This Row],[NAME UPPER]])</f>
        <v>Miranda Hutchinson</v>
      </c>
      <c r="T93" t="str">
        <f t="shared" si="8"/>
        <v>Ca</v>
      </c>
      <c r="U93" t="str">
        <f t="shared" si="5"/>
        <v>nda Hu</v>
      </c>
      <c r="V93" t="str">
        <f t="shared" si="9"/>
        <v>92</v>
      </c>
    </row>
    <row r="94" spans="1:22" x14ac:dyDescent="0.3">
      <c r="A94" s="1" t="s">
        <v>277</v>
      </c>
      <c r="B94" s="1" t="s">
        <v>278</v>
      </c>
      <c r="C94" s="1" t="s">
        <v>32</v>
      </c>
      <c r="D94">
        <v>53</v>
      </c>
      <c r="E94" s="1" t="s">
        <v>184</v>
      </c>
      <c r="F94" s="1" t="s">
        <v>185</v>
      </c>
      <c r="G94" s="1" t="s">
        <v>82</v>
      </c>
      <c r="H94">
        <v>21</v>
      </c>
      <c r="I94" t="s">
        <v>28</v>
      </c>
      <c r="K94" t="s">
        <v>83</v>
      </c>
      <c r="L94">
        <v>0.97</v>
      </c>
      <c r="M94" s="1" t="s">
        <v>72</v>
      </c>
      <c r="N94" s="1" t="s">
        <v>65</v>
      </c>
      <c r="O94">
        <v>20</v>
      </c>
      <c r="P94">
        <v>10</v>
      </c>
      <c r="Q94" t="str">
        <f t="shared" si="6"/>
        <v>PAUL RICHARDSON</v>
      </c>
      <c r="R94" t="str">
        <f t="shared" si="7"/>
        <v>china</v>
      </c>
      <c r="S94" t="str">
        <f>PROPER(global_freelancer_raw[[#This Row],[NAME UPPER]])</f>
        <v>Paul Richardson</v>
      </c>
      <c r="T94" t="str">
        <f t="shared" si="8"/>
        <v>Ch</v>
      </c>
      <c r="U94" t="str">
        <f t="shared" si="5"/>
        <v xml:space="preserve"> Richa</v>
      </c>
      <c r="V94" t="str">
        <f t="shared" si="9"/>
        <v>93</v>
      </c>
    </row>
    <row r="95" spans="1:22" x14ac:dyDescent="0.3">
      <c r="A95" s="1" t="s">
        <v>279</v>
      </c>
      <c r="B95" s="1" t="s">
        <v>280</v>
      </c>
      <c r="C95" s="1" t="s">
        <v>101</v>
      </c>
      <c r="D95">
        <v>35</v>
      </c>
      <c r="E95" s="1" t="s">
        <v>133</v>
      </c>
      <c r="F95" s="1" t="s">
        <v>134</v>
      </c>
      <c r="G95" s="1" t="s">
        <v>19</v>
      </c>
      <c r="H95">
        <v>3</v>
      </c>
      <c r="I95" t="s">
        <v>118</v>
      </c>
      <c r="J95">
        <v>3.8</v>
      </c>
      <c r="K95" t="s">
        <v>76</v>
      </c>
      <c r="L95">
        <v>0.81</v>
      </c>
      <c r="M95" s="1" t="s">
        <v>51</v>
      </c>
      <c r="N95" s="1" t="s">
        <v>36</v>
      </c>
      <c r="O95">
        <v>3</v>
      </c>
      <c r="P95">
        <v>2</v>
      </c>
      <c r="Q95" t="str">
        <f t="shared" si="6"/>
        <v>JOSE JONES</v>
      </c>
      <c r="R95" t="str">
        <f t="shared" si="7"/>
        <v>russia</v>
      </c>
      <c r="S95" t="str">
        <f>PROPER(global_freelancer_raw[[#This Row],[NAME UPPER]])</f>
        <v>Jose Jones</v>
      </c>
      <c r="T95" t="str">
        <f t="shared" si="8"/>
        <v>Ru</v>
      </c>
      <c r="U95" t="str">
        <f t="shared" si="5"/>
        <v xml:space="preserve"> Jones</v>
      </c>
      <c r="V95" t="str">
        <f t="shared" si="9"/>
        <v>94</v>
      </c>
    </row>
    <row r="96" spans="1:22" x14ac:dyDescent="0.3">
      <c r="A96" s="1" t="s">
        <v>281</v>
      </c>
      <c r="B96" s="1" t="s">
        <v>282</v>
      </c>
      <c r="C96" s="1" t="s">
        <v>16</v>
      </c>
      <c r="D96">
        <v>54</v>
      </c>
      <c r="E96" s="1" t="s">
        <v>184</v>
      </c>
      <c r="F96" s="1" t="s">
        <v>185</v>
      </c>
      <c r="G96" s="1" t="s">
        <v>123</v>
      </c>
      <c r="H96">
        <v>17</v>
      </c>
      <c r="I96">
        <v>20</v>
      </c>
      <c r="J96">
        <v>1.7</v>
      </c>
      <c r="K96">
        <v>0</v>
      </c>
      <c r="L96">
        <v>0.69</v>
      </c>
      <c r="M96" s="1" t="s">
        <v>20</v>
      </c>
      <c r="N96" s="1" t="s">
        <v>21</v>
      </c>
      <c r="O96">
        <v>17</v>
      </c>
      <c r="P96">
        <v>15</v>
      </c>
      <c r="Q96" t="str">
        <f t="shared" si="6"/>
        <v>DENISE SMITH</v>
      </c>
      <c r="R96" t="str">
        <f t="shared" si="7"/>
        <v>china</v>
      </c>
      <c r="S96" t="str">
        <f>PROPER(global_freelancer_raw[[#This Row],[NAME UPPER]])</f>
        <v>Denise Smith</v>
      </c>
      <c r="T96" t="str">
        <f t="shared" si="8"/>
        <v>Ch</v>
      </c>
      <c r="U96" t="str">
        <f t="shared" si="5"/>
        <v>se Smi</v>
      </c>
      <c r="V96" t="str">
        <f t="shared" si="9"/>
        <v>95</v>
      </c>
    </row>
    <row r="97" spans="1:22" x14ac:dyDescent="0.3">
      <c r="A97" s="1" t="s">
        <v>283</v>
      </c>
      <c r="B97" s="1" t="s">
        <v>284</v>
      </c>
      <c r="C97" s="1" t="s">
        <v>24</v>
      </c>
      <c r="D97">
        <v>36</v>
      </c>
      <c r="E97" s="1" t="s">
        <v>17</v>
      </c>
      <c r="F97" s="1" t="s">
        <v>18</v>
      </c>
      <c r="G97" s="1" t="s">
        <v>82</v>
      </c>
      <c r="H97">
        <v>0</v>
      </c>
      <c r="I97">
        <v>20</v>
      </c>
      <c r="J97">
        <v>1.3</v>
      </c>
      <c r="K97" t="s">
        <v>83</v>
      </c>
      <c r="L97">
        <v>0.64</v>
      </c>
      <c r="M97" s="1" t="s">
        <v>51</v>
      </c>
      <c r="N97" s="1" t="s">
        <v>65</v>
      </c>
      <c r="O97">
        <v>2</v>
      </c>
      <c r="P97">
        <v>2</v>
      </c>
      <c r="Q97" t="str">
        <f t="shared" si="6"/>
        <v>SHELBY MCMAHON</v>
      </c>
      <c r="R97" t="str">
        <f t="shared" si="7"/>
        <v>italy</v>
      </c>
      <c r="S97" t="str">
        <f>PROPER(global_freelancer_raw[[#This Row],[NAME UPPER]])</f>
        <v>Shelby Mcmahon</v>
      </c>
      <c r="T97" t="str">
        <f t="shared" si="8"/>
        <v>It</v>
      </c>
      <c r="U97" t="str">
        <f t="shared" si="5"/>
        <v>by Mcm</v>
      </c>
      <c r="V97" t="str">
        <f t="shared" si="9"/>
        <v>96</v>
      </c>
    </row>
    <row r="98" spans="1:22" x14ac:dyDescent="0.3">
      <c r="A98" s="1" t="s">
        <v>285</v>
      </c>
      <c r="B98" s="1" t="s">
        <v>286</v>
      </c>
      <c r="C98" s="1" t="s">
        <v>16</v>
      </c>
      <c r="D98">
        <v>49</v>
      </c>
      <c r="E98" s="1" t="s">
        <v>199</v>
      </c>
      <c r="F98" s="1" t="s">
        <v>81</v>
      </c>
      <c r="G98" s="1" t="s">
        <v>87</v>
      </c>
      <c r="H98">
        <v>25</v>
      </c>
      <c r="I98">
        <v>50</v>
      </c>
      <c r="J98">
        <v>5</v>
      </c>
      <c r="K98" t="s">
        <v>35</v>
      </c>
      <c r="L98">
        <v>0.77</v>
      </c>
      <c r="M98" s="1" t="s">
        <v>51</v>
      </c>
      <c r="N98" s="1" t="s">
        <v>36</v>
      </c>
      <c r="O98">
        <v>14</v>
      </c>
      <c r="P98">
        <v>8</v>
      </c>
      <c r="Q98" t="str">
        <f t="shared" si="6"/>
        <v>BETHANY WRIGHT</v>
      </c>
      <c r="R98" t="str">
        <f t="shared" si="7"/>
        <v>spain</v>
      </c>
      <c r="S98" t="str">
        <f>PROPER(global_freelancer_raw[[#This Row],[NAME UPPER]])</f>
        <v>Bethany Wright</v>
      </c>
      <c r="T98" t="str">
        <f t="shared" si="8"/>
        <v>Sp</v>
      </c>
      <c r="U98" t="str">
        <f t="shared" si="5"/>
        <v>any Wr</v>
      </c>
      <c r="V98" t="str">
        <f t="shared" si="9"/>
        <v>97</v>
      </c>
    </row>
    <row r="99" spans="1:22" x14ac:dyDescent="0.3">
      <c r="A99" s="1" t="s">
        <v>287</v>
      </c>
      <c r="B99" s="1" t="s">
        <v>288</v>
      </c>
      <c r="C99" s="1" t="s">
        <v>106</v>
      </c>
      <c r="D99">
        <v>37</v>
      </c>
      <c r="E99" s="1" t="s">
        <v>64</v>
      </c>
      <c r="F99" s="1" t="s">
        <v>26</v>
      </c>
      <c r="G99" s="1" t="s">
        <v>19</v>
      </c>
      <c r="H99">
        <v>17</v>
      </c>
      <c r="I99">
        <v>20</v>
      </c>
      <c r="J99">
        <v>3.3</v>
      </c>
      <c r="K99">
        <v>0</v>
      </c>
      <c r="L99">
        <v>96</v>
      </c>
      <c r="M99" s="1" t="s">
        <v>20</v>
      </c>
      <c r="N99" s="1" t="s">
        <v>29</v>
      </c>
      <c r="O99">
        <v>20</v>
      </c>
      <c r="P99">
        <v>11</v>
      </c>
      <c r="Q99" t="str">
        <f t="shared" si="6"/>
        <v>DAVID ORTIZ</v>
      </c>
      <c r="R99" t="str">
        <f t="shared" si="7"/>
        <v>us</v>
      </c>
      <c r="S99" t="str">
        <f>PROPER(global_freelancer_raw[[#This Row],[NAME UPPER]])</f>
        <v>David Ortiz</v>
      </c>
      <c r="T99" t="str">
        <f t="shared" si="8"/>
        <v>US</v>
      </c>
      <c r="U99" t="str">
        <f t="shared" si="5"/>
        <v>d Orti</v>
      </c>
      <c r="V99" t="str">
        <f t="shared" si="9"/>
        <v>98</v>
      </c>
    </row>
    <row r="100" spans="1:22" x14ac:dyDescent="0.3">
      <c r="A100" s="1" t="s">
        <v>289</v>
      </c>
      <c r="B100" s="1" t="s">
        <v>290</v>
      </c>
      <c r="C100" s="1" t="s">
        <v>68</v>
      </c>
      <c r="E100" s="1" t="s">
        <v>64</v>
      </c>
      <c r="F100" s="1" t="s">
        <v>26</v>
      </c>
      <c r="G100" s="1" t="s">
        <v>82</v>
      </c>
      <c r="H100">
        <v>5</v>
      </c>
      <c r="I100" t="s">
        <v>130</v>
      </c>
      <c r="J100">
        <v>1.1000000000000001</v>
      </c>
      <c r="K100" t="s">
        <v>168</v>
      </c>
      <c r="L100">
        <v>0.74</v>
      </c>
      <c r="M100" s="1" t="s">
        <v>77</v>
      </c>
      <c r="N100" s="1" t="s">
        <v>29</v>
      </c>
      <c r="O100">
        <v>2</v>
      </c>
      <c r="P100">
        <v>1</v>
      </c>
      <c r="Q100" t="str">
        <f t="shared" si="6"/>
        <v>ANDREW LYNCH</v>
      </c>
      <c r="R100" t="str">
        <f t="shared" si="7"/>
        <v>us</v>
      </c>
      <c r="S100" t="str">
        <f>PROPER(global_freelancer_raw[[#This Row],[NAME UPPER]])</f>
        <v>Andrew Lynch</v>
      </c>
      <c r="T100" t="str">
        <f t="shared" si="8"/>
        <v>US</v>
      </c>
      <c r="U100" t="str">
        <f t="shared" si="5"/>
        <v>ew Lyn</v>
      </c>
      <c r="V100" t="str">
        <f t="shared" si="9"/>
        <v>99</v>
      </c>
    </row>
    <row r="101" spans="1:22" x14ac:dyDescent="0.3">
      <c r="A101" s="1" t="s">
        <v>291</v>
      </c>
      <c r="B101" s="1" t="s">
        <v>292</v>
      </c>
      <c r="C101" s="1" t="s">
        <v>54</v>
      </c>
      <c r="D101">
        <v>32</v>
      </c>
      <c r="E101" s="1" t="s">
        <v>148</v>
      </c>
      <c r="F101" s="1" t="s">
        <v>149</v>
      </c>
      <c r="G101" s="1" t="s">
        <v>82</v>
      </c>
      <c r="H101">
        <v>10</v>
      </c>
      <c r="I101">
        <v>50</v>
      </c>
      <c r="J101">
        <v>1.2</v>
      </c>
      <c r="K101" t="b">
        <v>0</v>
      </c>
      <c r="L101">
        <v>0.89</v>
      </c>
      <c r="M101" s="1" t="s">
        <v>77</v>
      </c>
      <c r="N101" s="1" t="s">
        <v>36</v>
      </c>
      <c r="O101">
        <v>8</v>
      </c>
      <c r="P101">
        <v>12</v>
      </c>
      <c r="Q101" t="str">
        <f t="shared" si="6"/>
        <v>KRISTOPHER MEYERS</v>
      </c>
      <c r="R101" t="str">
        <f t="shared" si="7"/>
        <v>egypt</v>
      </c>
      <c r="S101" t="str">
        <f>PROPER(global_freelancer_raw[[#This Row],[NAME UPPER]])</f>
        <v>Kristopher Meyers</v>
      </c>
      <c r="T101" t="str">
        <f t="shared" si="8"/>
        <v>Eg</v>
      </c>
      <c r="U101" t="str">
        <f t="shared" si="5"/>
        <v>topher</v>
      </c>
      <c r="V101" t="str">
        <f t="shared" si="9"/>
        <v>00</v>
      </c>
    </row>
    <row r="102" spans="1:22" x14ac:dyDescent="0.3">
      <c r="A102" s="1" t="s">
        <v>293</v>
      </c>
      <c r="B102" s="1" t="s">
        <v>294</v>
      </c>
      <c r="C102" s="1" t="s">
        <v>54</v>
      </c>
      <c r="D102">
        <v>35</v>
      </c>
      <c r="E102" s="1" t="s">
        <v>102</v>
      </c>
      <c r="F102" s="1" t="s">
        <v>103</v>
      </c>
      <c r="G102" s="1" t="s">
        <v>27</v>
      </c>
      <c r="H102">
        <v>0</v>
      </c>
      <c r="J102">
        <v>2</v>
      </c>
      <c r="K102">
        <v>1</v>
      </c>
      <c r="L102">
        <v>0.64</v>
      </c>
      <c r="M102" s="1" t="s">
        <v>20</v>
      </c>
      <c r="N102" s="1" t="s">
        <v>29</v>
      </c>
      <c r="O102">
        <v>4</v>
      </c>
      <c r="P102">
        <v>1</v>
      </c>
      <c r="Q102" t="str">
        <f t="shared" si="6"/>
        <v>THOMAS ROTH</v>
      </c>
      <c r="R102" t="str">
        <f t="shared" si="7"/>
        <v>india</v>
      </c>
      <c r="S102" t="str">
        <f>PROPER(global_freelancer_raw[[#This Row],[NAME UPPER]])</f>
        <v>Thomas Roth</v>
      </c>
      <c r="T102" t="str">
        <f t="shared" si="8"/>
        <v>In</v>
      </c>
      <c r="U102" t="str">
        <f t="shared" si="5"/>
        <v>as Rot</v>
      </c>
      <c r="V102" t="str">
        <f t="shared" si="9"/>
        <v>01</v>
      </c>
    </row>
    <row r="103" spans="1:22" x14ac:dyDescent="0.3">
      <c r="A103" s="1" t="s">
        <v>295</v>
      </c>
      <c r="B103" s="1" t="s">
        <v>296</v>
      </c>
      <c r="C103" s="1" t="s">
        <v>16</v>
      </c>
      <c r="D103">
        <v>51</v>
      </c>
      <c r="E103" s="1" t="s">
        <v>133</v>
      </c>
      <c r="F103" s="1" t="s">
        <v>134</v>
      </c>
      <c r="G103" s="1" t="s">
        <v>34</v>
      </c>
      <c r="H103">
        <v>2</v>
      </c>
      <c r="I103" t="s">
        <v>50</v>
      </c>
      <c r="J103">
        <v>4.5</v>
      </c>
      <c r="K103">
        <v>0</v>
      </c>
      <c r="L103">
        <v>64</v>
      </c>
      <c r="M103" s="1" t="s">
        <v>72</v>
      </c>
      <c r="N103" s="1" t="s">
        <v>29</v>
      </c>
      <c r="O103">
        <v>5</v>
      </c>
      <c r="P103">
        <v>1</v>
      </c>
      <c r="Q103" t="str">
        <f t="shared" si="6"/>
        <v>VICKI BROWN</v>
      </c>
      <c r="R103" t="str">
        <f t="shared" si="7"/>
        <v>russia</v>
      </c>
      <c r="S103" t="str">
        <f>PROPER(global_freelancer_raw[[#This Row],[NAME UPPER]])</f>
        <v>Vicki Brown</v>
      </c>
      <c r="T103" t="str">
        <f t="shared" si="8"/>
        <v>Ru</v>
      </c>
      <c r="U103" t="str">
        <f t="shared" si="5"/>
        <v>i Brow</v>
      </c>
      <c r="V103" t="str">
        <f t="shared" si="9"/>
        <v>02</v>
      </c>
    </row>
    <row r="104" spans="1:22" x14ac:dyDescent="0.3">
      <c r="A104" s="1" t="s">
        <v>297</v>
      </c>
      <c r="B104" s="1" t="s">
        <v>298</v>
      </c>
      <c r="C104" s="1" t="s">
        <v>16</v>
      </c>
      <c r="D104">
        <v>50</v>
      </c>
      <c r="E104" s="1" t="s">
        <v>133</v>
      </c>
      <c r="F104" s="1" t="s">
        <v>134</v>
      </c>
      <c r="G104" s="1" t="s">
        <v>98</v>
      </c>
      <c r="H104">
        <v>30</v>
      </c>
      <c r="I104">
        <v>100</v>
      </c>
      <c r="J104">
        <v>3</v>
      </c>
      <c r="K104">
        <v>1</v>
      </c>
      <c r="L104">
        <v>0.73</v>
      </c>
      <c r="M104" s="1" t="s">
        <v>51</v>
      </c>
      <c r="N104" s="1" t="s">
        <v>29</v>
      </c>
      <c r="O104">
        <v>13</v>
      </c>
      <c r="P104">
        <v>6</v>
      </c>
      <c r="Q104" t="str">
        <f t="shared" si="6"/>
        <v>STACY SUTTON</v>
      </c>
      <c r="R104" t="str">
        <f t="shared" si="7"/>
        <v>russia</v>
      </c>
      <c r="S104" t="str">
        <f>PROPER(global_freelancer_raw[[#This Row],[NAME UPPER]])</f>
        <v>Stacy Sutton</v>
      </c>
      <c r="T104" t="str">
        <f t="shared" si="8"/>
        <v>Ru</v>
      </c>
      <c r="U104" t="str">
        <f t="shared" si="5"/>
        <v>y Sutt</v>
      </c>
      <c r="V104" t="str">
        <f t="shared" si="9"/>
        <v>03</v>
      </c>
    </row>
    <row r="105" spans="1:22" x14ac:dyDescent="0.3">
      <c r="A105" s="1" t="s">
        <v>299</v>
      </c>
      <c r="B105" s="1" t="s">
        <v>300</v>
      </c>
      <c r="C105" s="1" t="s">
        <v>16</v>
      </c>
      <c r="D105">
        <v>21</v>
      </c>
      <c r="E105" s="1" t="s">
        <v>69</v>
      </c>
      <c r="F105" s="1" t="s">
        <v>70</v>
      </c>
      <c r="G105" s="1" t="s">
        <v>19</v>
      </c>
      <c r="H105">
        <v>2</v>
      </c>
      <c r="I105" t="s">
        <v>71</v>
      </c>
      <c r="J105">
        <v>4.9000000000000004</v>
      </c>
      <c r="K105" t="s">
        <v>76</v>
      </c>
      <c r="L105">
        <v>0.68</v>
      </c>
      <c r="M105" s="1" t="s">
        <v>20</v>
      </c>
      <c r="N105" s="1" t="s">
        <v>65</v>
      </c>
      <c r="O105">
        <v>2</v>
      </c>
      <c r="P105">
        <v>3</v>
      </c>
      <c r="Q105" t="str">
        <f t="shared" si="6"/>
        <v>KIMBERLY HOLLAND</v>
      </c>
      <c r="R105" t="str">
        <f t="shared" si="7"/>
        <v>turkey</v>
      </c>
      <c r="S105" t="str">
        <f>PROPER(global_freelancer_raw[[#This Row],[NAME UPPER]])</f>
        <v>Kimberly Holland</v>
      </c>
      <c r="T105" t="str">
        <f t="shared" si="8"/>
        <v>Tu</v>
      </c>
      <c r="U105" t="str">
        <f t="shared" si="5"/>
        <v>erly H</v>
      </c>
      <c r="V105" t="str">
        <f t="shared" si="9"/>
        <v>04</v>
      </c>
    </row>
    <row r="106" spans="1:22" x14ac:dyDescent="0.3">
      <c r="A106" s="1" t="s">
        <v>301</v>
      </c>
      <c r="B106" s="1" t="s">
        <v>302</v>
      </c>
      <c r="C106" s="1" t="s">
        <v>68</v>
      </c>
      <c r="D106">
        <v>25</v>
      </c>
      <c r="E106" s="1" t="s">
        <v>64</v>
      </c>
      <c r="F106" s="1" t="s">
        <v>26</v>
      </c>
      <c r="G106" s="1" t="s">
        <v>34</v>
      </c>
      <c r="H106">
        <v>3</v>
      </c>
      <c r="I106" t="s">
        <v>50</v>
      </c>
      <c r="K106" t="s">
        <v>168</v>
      </c>
      <c r="L106">
        <v>0.88</v>
      </c>
      <c r="M106" s="1" t="s">
        <v>51</v>
      </c>
      <c r="N106" s="1" t="s">
        <v>29</v>
      </c>
      <c r="O106">
        <v>2</v>
      </c>
      <c r="P106">
        <v>4</v>
      </c>
      <c r="Q106" t="str">
        <f t="shared" si="6"/>
        <v>TRAVIS RICHARDSON</v>
      </c>
      <c r="R106" t="str">
        <f t="shared" si="7"/>
        <v>us</v>
      </c>
      <c r="S106" t="str">
        <f>PROPER(global_freelancer_raw[[#This Row],[NAME UPPER]])</f>
        <v>Travis Richardson</v>
      </c>
      <c r="T106" t="str">
        <f t="shared" si="8"/>
        <v>US</v>
      </c>
      <c r="U106" t="str">
        <f t="shared" si="5"/>
        <v>is Ric</v>
      </c>
      <c r="V106" t="str">
        <f t="shared" si="9"/>
        <v>05</v>
      </c>
    </row>
    <row r="107" spans="1:22" x14ac:dyDescent="0.3">
      <c r="A107" s="1" t="s">
        <v>303</v>
      </c>
      <c r="B107" s="1" t="s">
        <v>304</v>
      </c>
      <c r="C107" s="1" t="s">
        <v>24</v>
      </c>
      <c r="D107">
        <v>57</v>
      </c>
      <c r="E107" s="1" t="s">
        <v>144</v>
      </c>
      <c r="F107" s="1" t="s">
        <v>145</v>
      </c>
      <c r="G107" s="1" t="s">
        <v>98</v>
      </c>
      <c r="H107">
        <v>21</v>
      </c>
      <c r="I107" t="s">
        <v>41</v>
      </c>
      <c r="J107">
        <v>2.5</v>
      </c>
      <c r="K107">
        <v>0</v>
      </c>
      <c r="L107">
        <v>0.77</v>
      </c>
      <c r="M107" s="1" t="s">
        <v>72</v>
      </c>
      <c r="N107" s="1" t="s">
        <v>29</v>
      </c>
      <c r="O107">
        <v>13</v>
      </c>
      <c r="P107">
        <v>10</v>
      </c>
      <c r="Q107" t="str">
        <f t="shared" si="6"/>
        <v>JASMIN HO</v>
      </c>
      <c r="R107" t="str">
        <f t="shared" si="7"/>
        <v>france</v>
      </c>
      <c r="S107" t="str">
        <f>PROPER(global_freelancer_raw[[#This Row],[NAME UPPER]])</f>
        <v>Jasmin Ho</v>
      </c>
      <c r="T107" t="str">
        <f t="shared" si="8"/>
        <v>Fr</v>
      </c>
      <c r="U107" t="str">
        <f t="shared" si="5"/>
        <v>in Ho</v>
      </c>
      <c r="V107" t="str">
        <f t="shared" si="9"/>
        <v>06</v>
      </c>
    </row>
    <row r="108" spans="1:22" x14ac:dyDescent="0.3">
      <c r="A108" s="1" t="s">
        <v>305</v>
      </c>
      <c r="B108" s="1" t="s">
        <v>306</v>
      </c>
      <c r="C108" s="1" t="s">
        <v>54</v>
      </c>
      <c r="D108">
        <v>58</v>
      </c>
      <c r="E108" s="1" t="s">
        <v>133</v>
      </c>
      <c r="F108" s="1" t="s">
        <v>134</v>
      </c>
      <c r="G108" s="1" t="s">
        <v>19</v>
      </c>
      <c r="H108">
        <v>3</v>
      </c>
      <c r="J108">
        <v>0</v>
      </c>
      <c r="K108">
        <v>1</v>
      </c>
      <c r="M108" s="1" t="s">
        <v>51</v>
      </c>
      <c r="N108" s="1" t="s">
        <v>29</v>
      </c>
      <c r="O108">
        <v>3</v>
      </c>
      <c r="P108">
        <v>4</v>
      </c>
      <c r="Q108" t="str">
        <f t="shared" si="6"/>
        <v>MARK PAUL</v>
      </c>
      <c r="R108" t="str">
        <f t="shared" si="7"/>
        <v>russia</v>
      </c>
      <c r="S108" t="str">
        <f>PROPER(global_freelancer_raw[[#This Row],[NAME UPPER]])</f>
        <v>Mark Paul</v>
      </c>
      <c r="T108" t="str">
        <f t="shared" si="8"/>
        <v>Ru</v>
      </c>
      <c r="U108" t="str">
        <f t="shared" si="5"/>
        <v xml:space="preserve"> Paul</v>
      </c>
      <c r="V108" t="str">
        <f t="shared" si="9"/>
        <v>07</v>
      </c>
    </row>
    <row r="109" spans="1:22" x14ac:dyDescent="0.3">
      <c r="A109" s="1" t="s">
        <v>307</v>
      </c>
      <c r="B109" s="1" t="s">
        <v>308</v>
      </c>
      <c r="C109" s="1" t="s">
        <v>39</v>
      </c>
      <c r="D109">
        <v>45</v>
      </c>
      <c r="E109" s="1" t="s">
        <v>55</v>
      </c>
      <c r="F109" s="1" t="s">
        <v>56</v>
      </c>
      <c r="G109" s="1" t="s">
        <v>27</v>
      </c>
      <c r="H109">
        <v>19</v>
      </c>
      <c r="I109">
        <v>40</v>
      </c>
      <c r="K109">
        <v>1</v>
      </c>
      <c r="L109">
        <v>0.72</v>
      </c>
      <c r="M109" s="1" t="s">
        <v>20</v>
      </c>
      <c r="N109" s="1" t="s">
        <v>65</v>
      </c>
      <c r="O109">
        <v>12</v>
      </c>
      <c r="P109">
        <v>6</v>
      </c>
      <c r="Q109" t="str">
        <f t="shared" si="6"/>
        <v>JENNIFER LEWIS</v>
      </c>
      <c r="R109" t="str">
        <f t="shared" si="7"/>
        <v>indonesia</v>
      </c>
      <c r="S109" t="str">
        <f>PROPER(global_freelancer_raw[[#This Row],[NAME UPPER]])</f>
        <v>Jennifer Lewis</v>
      </c>
      <c r="T109" t="str">
        <f t="shared" si="8"/>
        <v>In</v>
      </c>
      <c r="U109" t="str">
        <f t="shared" si="5"/>
        <v>ifer L</v>
      </c>
      <c r="V109" t="str">
        <f t="shared" si="9"/>
        <v>08</v>
      </c>
    </row>
    <row r="110" spans="1:22" x14ac:dyDescent="0.3">
      <c r="A110" s="1" t="s">
        <v>309</v>
      </c>
      <c r="B110" s="1" t="s">
        <v>310</v>
      </c>
      <c r="C110" s="1" t="s">
        <v>39</v>
      </c>
      <c r="D110">
        <v>23</v>
      </c>
      <c r="E110" s="1" t="s">
        <v>64</v>
      </c>
      <c r="F110" s="1" t="s">
        <v>26</v>
      </c>
      <c r="G110" s="1" t="s">
        <v>40</v>
      </c>
      <c r="H110">
        <v>0</v>
      </c>
      <c r="I110">
        <v>20</v>
      </c>
      <c r="J110">
        <v>4.7</v>
      </c>
      <c r="K110" t="s">
        <v>83</v>
      </c>
      <c r="L110">
        <v>0.6</v>
      </c>
      <c r="M110" s="1" t="s">
        <v>51</v>
      </c>
      <c r="N110" s="1" t="s">
        <v>36</v>
      </c>
      <c r="O110">
        <v>2</v>
      </c>
      <c r="P110">
        <v>1</v>
      </c>
      <c r="Q110" t="str">
        <f t="shared" si="6"/>
        <v>ELIZABETH LESTER</v>
      </c>
      <c r="R110" t="str">
        <f t="shared" si="7"/>
        <v>us</v>
      </c>
      <c r="S110" t="str">
        <f>PROPER(global_freelancer_raw[[#This Row],[NAME UPPER]])</f>
        <v>Elizabeth Lester</v>
      </c>
      <c r="T110" t="str">
        <f t="shared" si="8"/>
        <v>US</v>
      </c>
      <c r="U110" t="str">
        <f t="shared" si="5"/>
        <v xml:space="preserve">abeth </v>
      </c>
      <c r="V110" t="str">
        <f t="shared" si="9"/>
        <v>09</v>
      </c>
    </row>
    <row r="111" spans="1:22" x14ac:dyDescent="0.3">
      <c r="A111" s="1" t="s">
        <v>311</v>
      </c>
      <c r="B111" s="1" t="s">
        <v>312</v>
      </c>
      <c r="C111" s="1" t="s">
        <v>24</v>
      </c>
      <c r="D111">
        <v>46</v>
      </c>
      <c r="E111" s="1" t="s">
        <v>64</v>
      </c>
      <c r="F111" s="1" t="s">
        <v>26</v>
      </c>
      <c r="G111" s="1" t="s">
        <v>49</v>
      </c>
      <c r="H111">
        <v>9</v>
      </c>
      <c r="I111" t="s">
        <v>50</v>
      </c>
      <c r="J111">
        <v>3.5</v>
      </c>
      <c r="L111">
        <v>72</v>
      </c>
      <c r="M111" s="1" t="s">
        <v>77</v>
      </c>
      <c r="N111" s="1" t="s">
        <v>21</v>
      </c>
      <c r="O111">
        <v>15</v>
      </c>
      <c r="P111">
        <v>9</v>
      </c>
      <c r="Q111" t="str">
        <f t="shared" si="6"/>
        <v>KIMBERLY GRIFFIN</v>
      </c>
      <c r="R111" t="str">
        <f t="shared" si="7"/>
        <v>us</v>
      </c>
      <c r="S111" t="str">
        <f>PROPER(global_freelancer_raw[[#This Row],[NAME UPPER]])</f>
        <v>Kimberly Griffin</v>
      </c>
      <c r="T111" t="str">
        <f t="shared" si="8"/>
        <v>US</v>
      </c>
      <c r="U111" t="str">
        <f t="shared" si="5"/>
        <v>erly G</v>
      </c>
      <c r="V111" t="str">
        <f t="shared" si="9"/>
        <v>10</v>
      </c>
    </row>
    <row r="112" spans="1:22" x14ac:dyDescent="0.3">
      <c r="A112" s="1" t="s">
        <v>313</v>
      </c>
      <c r="B112" s="1" t="s">
        <v>314</v>
      </c>
      <c r="C112" s="1" t="s">
        <v>68</v>
      </c>
      <c r="D112">
        <v>27</v>
      </c>
      <c r="E112" s="1" t="s">
        <v>80</v>
      </c>
      <c r="F112" s="1" t="s">
        <v>81</v>
      </c>
      <c r="G112" s="1" t="s">
        <v>82</v>
      </c>
      <c r="H112">
        <v>5</v>
      </c>
      <c r="I112">
        <v>30</v>
      </c>
      <c r="K112" t="s">
        <v>35</v>
      </c>
      <c r="L112">
        <v>0.92</v>
      </c>
      <c r="M112" s="1" t="s">
        <v>72</v>
      </c>
      <c r="N112" s="1" t="s">
        <v>29</v>
      </c>
      <c r="O112">
        <v>3</v>
      </c>
      <c r="P112">
        <v>3</v>
      </c>
      <c r="Q112" t="str">
        <f t="shared" si="6"/>
        <v>TYLER WARNER</v>
      </c>
      <c r="R112" t="str">
        <f t="shared" si="7"/>
        <v>argentina</v>
      </c>
      <c r="S112" t="str">
        <f>PROPER(global_freelancer_raw[[#This Row],[NAME UPPER]])</f>
        <v>Tyler Warner</v>
      </c>
      <c r="T112" t="str">
        <f t="shared" si="8"/>
        <v>Ar</v>
      </c>
      <c r="U112" t="str">
        <f t="shared" si="5"/>
        <v>r Warn</v>
      </c>
      <c r="V112" t="str">
        <f t="shared" si="9"/>
        <v>11</v>
      </c>
    </row>
    <row r="113" spans="1:22" x14ac:dyDescent="0.3">
      <c r="A113" s="1" t="s">
        <v>315</v>
      </c>
      <c r="B113" s="1" t="s">
        <v>316</v>
      </c>
      <c r="C113" s="1" t="s">
        <v>24</v>
      </c>
      <c r="D113">
        <v>32</v>
      </c>
      <c r="E113" s="1" t="s">
        <v>64</v>
      </c>
      <c r="F113" s="1" t="s">
        <v>26</v>
      </c>
      <c r="G113" s="1" t="s">
        <v>123</v>
      </c>
      <c r="H113">
        <v>6</v>
      </c>
      <c r="I113" t="s">
        <v>107</v>
      </c>
      <c r="J113">
        <v>3.4</v>
      </c>
      <c r="K113">
        <v>1</v>
      </c>
      <c r="M113" s="1" t="s">
        <v>72</v>
      </c>
      <c r="N113" s="1" t="s">
        <v>36</v>
      </c>
      <c r="O113">
        <v>11</v>
      </c>
      <c r="P113">
        <v>4</v>
      </c>
      <c r="Q113" t="str">
        <f t="shared" si="6"/>
        <v>JANE COX</v>
      </c>
      <c r="R113" t="str">
        <f t="shared" si="7"/>
        <v>us</v>
      </c>
      <c r="S113" t="str">
        <f>PROPER(global_freelancer_raw[[#This Row],[NAME UPPER]])</f>
        <v>Jane Cox</v>
      </c>
      <c r="T113" t="str">
        <f t="shared" si="8"/>
        <v>US</v>
      </c>
      <c r="U113" t="str">
        <f t="shared" si="5"/>
        <v xml:space="preserve"> Cox</v>
      </c>
      <c r="V113" t="str">
        <f t="shared" si="9"/>
        <v>12</v>
      </c>
    </row>
    <row r="114" spans="1:22" x14ac:dyDescent="0.3">
      <c r="A114" s="1" t="s">
        <v>317</v>
      </c>
      <c r="B114" s="1" t="s">
        <v>318</v>
      </c>
      <c r="C114" s="1" t="s">
        <v>16</v>
      </c>
      <c r="D114">
        <v>48</v>
      </c>
      <c r="E114" s="1" t="s">
        <v>80</v>
      </c>
      <c r="F114" s="1" t="s">
        <v>81</v>
      </c>
      <c r="G114" s="1" t="s">
        <v>123</v>
      </c>
      <c r="H114">
        <v>6</v>
      </c>
      <c r="I114" t="s">
        <v>58</v>
      </c>
      <c r="J114">
        <v>2.5</v>
      </c>
      <c r="L114">
        <v>0.92</v>
      </c>
      <c r="M114" s="1" t="s">
        <v>72</v>
      </c>
      <c r="N114" s="1" t="s">
        <v>29</v>
      </c>
      <c r="O114">
        <v>13</v>
      </c>
      <c r="P114">
        <v>1</v>
      </c>
      <c r="Q114" t="str">
        <f t="shared" si="6"/>
        <v>LEAH WILLIAMS</v>
      </c>
      <c r="R114" t="str">
        <f t="shared" si="7"/>
        <v>argentina</v>
      </c>
      <c r="S114" t="str">
        <f>PROPER(global_freelancer_raw[[#This Row],[NAME UPPER]])</f>
        <v>Leah Williams</v>
      </c>
      <c r="T114" t="str">
        <f t="shared" si="8"/>
        <v>Ar</v>
      </c>
      <c r="U114" t="str">
        <f t="shared" si="5"/>
        <v xml:space="preserve"> Willi</v>
      </c>
      <c r="V114" t="str">
        <f t="shared" si="9"/>
        <v>13</v>
      </c>
    </row>
    <row r="115" spans="1:22" x14ac:dyDescent="0.3">
      <c r="A115" s="1" t="s">
        <v>319</v>
      </c>
      <c r="B115" s="1" t="s">
        <v>320</v>
      </c>
      <c r="C115" s="1" t="s">
        <v>32</v>
      </c>
      <c r="D115">
        <v>30</v>
      </c>
      <c r="E115" s="1" t="s">
        <v>69</v>
      </c>
      <c r="F115" s="1" t="s">
        <v>70</v>
      </c>
      <c r="G115" s="1" t="s">
        <v>27</v>
      </c>
      <c r="H115">
        <v>3</v>
      </c>
      <c r="I115" t="s">
        <v>50</v>
      </c>
      <c r="J115">
        <v>1.1000000000000001</v>
      </c>
      <c r="K115" t="b">
        <v>1</v>
      </c>
      <c r="M115" s="1" t="s">
        <v>20</v>
      </c>
      <c r="N115" s="1" t="s">
        <v>65</v>
      </c>
      <c r="O115">
        <v>2</v>
      </c>
      <c r="P115">
        <v>1</v>
      </c>
      <c r="Q115" t="str">
        <f t="shared" si="6"/>
        <v>KEVIN WONG</v>
      </c>
      <c r="R115" t="str">
        <f t="shared" si="7"/>
        <v>turkey</v>
      </c>
      <c r="S115" t="str">
        <f>PROPER(global_freelancer_raw[[#This Row],[NAME UPPER]])</f>
        <v>Kevin Wong</v>
      </c>
      <c r="T115" t="str">
        <f t="shared" si="8"/>
        <v>Tu</v>
      </c>
      <c r="U115" t="str">
        <f t="shared" si="5"/>
        <v>n Wong</v>
      </c>
      <c r="V115" t="str">
        <f t="shared" si="9"/>
        <v>14</v>
      </c>
    </row>
    <row r="116" spans="1:22" x14ac:dyDescent="0.3">
      <c r="A116" s="1" t="s">
        <v>321</v>
      </c>
      <c r="B116" s="1" t="s">
        <v>322</v>
      </c>
      <c r="C116" s="1" t="s">
        <v>106</v>
      </c>
      <c r="D116">
        <v>59</v>
      </c>
      <c r="E116" s="1" t="s">
        <v>69</v>
      </c>
      <c r="F116" s="1" t="s">
        <v>70</v>
      </c>
      <c r="G116" s="1" t="s">
        <v>49</v>
      </c>
      <c r="H116">
        <v>13</v>
      </c>
      <c r="I116" t="s">
        <v>323</v>
      </c>
      <c r="J116">
        <v>4.8</v>
      </c>
      <c r="M116" s="1" t="s">
        <v>72</v>
      </c>
      <c r="N116" s="1" t="s">
        <v>36</v>
      </c>
      <c r="O116">
        <v>7</v>
      </c>
      <c r="P116">
        <v>10</v>
      </c>
      <c r="Q116" t="str">
        <f t="shared" si="6"/>
        <v>ROBERT ANDREWS</v>
      </c>
      <c r="R116" t="str">
        <f t="shared" si="7"/>
        <v>turkey</v>
      </c>
      <c r="S116" t="str">
        <f>PROPER(global_freelancer_raw[[#This Row],[NAME UPPER]])</f>
        <v>Robert Andrews</v>
      </c>
      <c r="T116" t="str">
        <f t="shared" si="8"/>
        <v>Tu</v>
      </c>
      <c r="U116" t="str">
        <f t="shared" si="5"/>
        <v>rt And</v>
      </c>
      <c r="V116" t="str">
        <f t="shared" si="9"/>
        <v>15</v>
      </c>
    </row>
    <row r="117" spans="1:22" x14ac:dyDescent="0.3">
      <c r="A117" s="1" t="s">
        <v>324</v>
      </c>
      <c r="B117" s="1" t="s">
        <v>325</v>
      </c>
      <c r="C117" s="1" t="s">
        <v>44</v>
      </c>
      <c r="D117">
        <v>32</v>
      </c>
      <c r="E117" s="1" t="s">
        <v>188</v>
      </c>
      <c r="F117" s="1" t="s">
        <v>81</v>
      </c>
      <c r="G117" s="1" t="s">
        <v>49</v>
      </c>
      <c r="H117">
        <v>5</v>
      </c>
      <c r="I117" t="s">
        <v>50</v>
      </c>
      <c r="K117">
        <v>0</v>
      </c>
      <c r="L117">
        <v>0.86</v>
      </c>
      <c r="M117" s="1" t="s">
        <v>77</v>
      </c>
      <c r="N117" s="1" t="s">
        <v>65</v>
      </c>
      <c r="O117">
        <v>3</v>
      </c>
      <c r="P117">
        <v>1</v>
      </c>
      <c r="Q117" t="str">
        <f t="shared" si="6"/>
        <v>JESSICA TORRES</v>
      </c>
      <c r="R117" t="str">
        <f t="shared" si="7"/>
        <v>mexico</v>
      </c>
      <c r="S117" t="str">
        <f>PROPER(global_freelancer_raw[[#This Row],[NAME UPPER]])</f>
        <v>Jessica Torres</v>
      </c>
      <c r="T117" t="str">
        <f t="shared" si="8"/>
        <v>Me</v>
      </c>
      <c r="U117" t="str">
        <f t="shared" si="5"/>
        <v>ica To</v>
      </c>
      <c r="V117" t="str">
        <f t="shared" si="9"/>
        <v>16</v>
      </c>
    </row>
    <row r="118" spans="1:22" x14ac:dyDescent="0.3">
      <c r="A118" s="1" t="s">
        <v>326</v>
      </c>
      <c r="B118" s="1" t="s">
        <v>327</v>
      </c>
      <c r="C118" s="1" t="s">
        <v>86</v>
      </c>
      <c r="D118">
        <v>57</v>
      </c>
      <c r="E118" s="1" t="s">
        <v>148</v>
      </c>
      <c r="F118" s="1" t="s">
        <v>149</v>
      </c>
      <c r="G118" s="1" t="s">
        <v>82</v>
      </c>
      <c r="H118">
        <v>4</v>
      </c>
      <c r="I118" t="s">
        <v>61</v>
      </c>
      <c r="J118">
        <v>3.4</v>
      </c>
      <c r="K118">
        <v>1</v>
      </c>
      <c r="L118">
        <v>0.68</v>
      </c>
      <c r="M118" s="1" t="s">
        <v>20</v>
      </c>
      <c r="N118" s="1" t="s">
        <v>29</v>
      </c>
      <c r="O118">
        <v>1</v>
      </c>
      <c r="P118">
        <v>4</v>
      </c>
      <c r="Q118" t="str">
        <f t="shared" si="6"/>
        <v>TERESA KIM</v>
      </c>
      <c r="R118" t="str">
        <f t="shared" si="7"/>
        <v>egypt</v>
      </c>
      <c r="S118" t="str">
        <f>PROPER(global_freelancer_raw[[#This Row],[NAME UPPER]])</f>
        <v>Teresa Kim</v>
      </c>
      <c r="T118" t="str">
        <f t="shared" si="8"/>
        <v>Eg</v>
      </c>
      <c r="U118" t="str">
        <f t="shared" si="5"/>
        <v>sa Kim</v>
      </c>
      <c r="V118" t="str">
        <f t="shared" si="9"/>
        <v>17</v>
      </c>
    </row>
    <row r="119" spans="1:22" x14ac:dyDescent="0.3">
      <c r="A119" s="1" t="s">
        <v>328</v>
      </c>
      <c r="B119" s="1" t="s">
        <v>329</v>
      </c>
      <c r="C119" s="1" t="s">
        <v>68</v>
      </c>
      <c r="D119">
        <v>27</v>
      </c>
      <c r="E119" s="1" t="s">
        <v>25</v>
      </c>
      <c r="F119" s="1" t="s">
        <v>26</v>
      </c>
      <c r="G119" s="1" t="s">
        <v>123</v>
      </c>
      <c r="H119">
        <v>7</v>
      </c>
      <c r="I119" t="s">
        <v>323</v>
      </c>
      <c r="J119">
        <v>3.2</v>
      </c>
      <c r="K119">
        <v>1</v>
      </c>
      <c r="L119">
        <v>0.62</v>
      </c>
      <c r="M119" s="1" t="s">
        <v>77</v>
      </c>
      <c r="N119" s="1" t="s">
        <v>29</v>
      </c>
      <c r="O119">
        <v>9</v>
      </c>
      <c r="P119">
        <v>3</v>
      </c>
      <c r="Q119" t="str">
        <f t="shared" si="6"/>
        <v>JON MORGAN</v>
      </c>
      <c r="R119" t="str">
        <f t="shared" si="7"/>
        <v>australia</v>
      </c>
      <c r="S119" t="str">
        <f>PROPER(global_freelancer_raw[[#This Row],[NAME UPPER]])</f>
        <v>Jon Morgan</v>
      </c>
      <c r="T119" t="str">
        <f t="shared" si="8"/>
        <v>Au</v>
      </c>
      <c r="U119" t="str">
        <f t="shared" si="5"/>
        <v>Morgan</v>
      </c>
      <c r="V119" t="str">
        <f t="shared" si="9"/>
        <v>18</v>
      </c>
    </row>
    <row r="120" spans="1:22" x14ac:dyDescent="0.3">
      <c r="A120" s="1" t="s">
        <v>330</v>
      </c>
      <c r="B120" s="1" t="s">
        <v>331</v>
      </c>
      <c r="C120" s="1" t="s">
        <v>39</v>
      </c>
      <c r="D120">
        <v>33</v>
      </c>
      <c r="E120" s="1"/>
      <c r="F120" s="1" t="s">
        <v>56</v>
      </c>
      <c r="G120" s="1" t="s">
        <v>123</v>
      </c>
      <c r="H120">
        <v>13</v>
      </c>
      <c r="I120">
        <v>20</v>
      </c>
      <c r="J120">
        <v>3.2</v>
      </c>
      <c r="K120" t="b">
        <v>0</v>
      </c>
      <c r="M120" s="1" t="s">
        <v>51</v>
      </c>
      <c r="N120" s="1" t="s">
        <v>65</v>
      </c>
      <c r="O120">
        <v>8</v>
      </c>
      <c r="P120">
        <v>9</v>
      </c>
      <c r="Q120" t="str">
        <f t="shared" si="6"/>
        <v>GLORIA CHANEY</v>
      </c>
      <c r="R120" t="str">
        <f t="shared" si="7"/>
        <v/>
      </c>
      <c r="S120" t="str">
        <f>PROPER(global_freelancer_raw[[#This Row],[NAME UPPER]])</f>
        <v>Gloria Chaney</v>
      </c>
      <c r="T120" t="str">
        <f t="shared" si="8"/>
        <v/>
      </c>
      <c r="U120" t="str">
        <f t="shared" si="5"/>
        <v>ia Cha</v>
      </c>
      <c r="V120" t="str">
        <f t="shared" si="9"/>
        <v>19</v>
      </c>
    </row>
    <row r="121" spans="1:22" x14ac:dyDescent="0.3">
      <c r="A121" s="1" t="s">
        <v>332</v>
      </c>
      <c r="B121" s="1" t="s">
        <v>333</v>
      </c>
      <c r="C121" s="1" t="s">
        <v>32</v>
      </c>
      <c r="D121">
        <v>29</v>
      </c>
      <c r="E121" s="1" t="s">
        <v>121</v>
      </c>
      <c r="F121" s="1" t="s">
        <v>122</v>
      </c>
      <c r="G121" s="1" t="s">
        <v>57</v>
      </c>
      <c r="H121">
        <v>4</v>
      </c>
      <c r="I121">
        <v>30</v>
      </c>
      <c r="J121">
        <v>0</v>
      </c>
      <c r="K121" t="s">
        <v>83</v>
      </c>
      <c r="L121">
        <v>0.82</v>
      </c>
      <c r="M121" s="1" t="s">
        <v>51</v>
      </c>
      <c r="N121" s="1" t="s">
        <v>21</v>
      </c>
      <c r="O121">
        <v>5</v>
      </c>
      <c r="P121">
        <v>3</v>
      </c>
      <c r="Q121" t="str">
        <f t="shared" si="6"/>
        <v>JESSE CAMPBELL</v>
      </c>
      <c r="R121" t="str">
        <f t="shared" si="7"/>
        <v>south korea</v>
      </c>
      <c r="S121" t="str">
        <f>PROPER(global_freelancer_raw[[#This Row],[NAME UPPER]])</f>
        <v>Jesse Campbell</v>
      </c>
      <c r="T121" t="str">
        <f t="shared" si="8"/>
        <v>So</v>
      </c>
      <c r="U121" t="str">
        <f t="shared" si="5"/>
        <v>e Camp</v>
      </c>
      <c r="V121" t="str">
        <f t="shared" si="9"/>
        <v>20</v>
      </c>
    </row>
    <row r="122" spans="1:22" x14ac:dyDescent="0.3">
      <c r="A122" s="1" t="s">
        <v>334</v>
      </c>
      <c r="B122" s="1" t="s">
        <v>335</v>
      </c>
      <c r="C122" s="1" t="s">
        <v>44</v>
      </c>
      <c r="D122">
        <v>36</v>
      </c>
      <c r="E122" s="1" t="s">
        <v>55</v>
      </c>
      <c r="F122" s="1" t="s">
        <v>56</v>
      </c>
      <c r="G122" s="1" t="s">
        <v>82</v>
      </c>
      <c r="H122">
        <v>13</v>
      </c>
      <c r="I122">
        <v>75</v>
      </c>
      <c r="K122">
        <v>1</v>
      </c>
      <c r="M122" s="1" t="s">
        <v>51</v>
      </c>
      <c r="N122" s="1" t="s">
        <v>65</v>
      </c>
      <c r="O122">
        <v>14</v>
      </c>
      <c r="P122">
        <v>4</v>
      </c>
      <c r="Q122" t="str">
        <f t="shared" si="6"/>
        <v>ALLISON TUCKER MD</v>
      </c>
      <c r="R122" t="str">
        <f t="shared" si="7"/>
        <v>indonesia</v>
      </c>
      <c r="S122" t="str">
        <f>PROPER(global_freelancer_raw[[#This Row],[NAME UPPER]])</f>
        <v>Allison Tucker Md</v>
      </c>
      <c r="T122" t="str">
        <f t="shared" si="8"/>
        <v>In</v>
      </c>
      <c r="U122" t="str">
        <f t="shared" si="5"/>
        <v>son Tu</v>
      </c>
      <c r="V122" t="str">
        <f t="shared" si="9"/>
        <v>21</v>
      </c>
    </row>
    <row r="123" spans="1:22" x14ac:dyDescent="0.3">
      <c r="A123" s="1" t="s">
        <v>336</v>
      </c>
      <c r="B123" s="1" t="s">
        <v>337</v>
      </c>
      <c r="C123" s="1" t="s">
        <v>86</v>
      </c>
      <c r="D123">
        <v>47</v>
      </c>
      <c r="E123" s="1" t="s">
        <v>17</v>
      </c>
      <c r="F123" s="1" t="s">
        <v>18</v>
      </c>
      <c r="G123" s="1" t="s">
        <v>98</v>
      </c>
      <c r="H123">
        <v>5</v>
      </c>
      <c r="I123" t="s">
        <v>41</v>
      </c>
      <c r="J123">
        <v>3.7</v>
      </c>
      <c r="K123" t="b">
        <v>0</v>
      </c>
      <c r="L123">
        <v>93</v>
      </c>
      <c r="M123" s="1" t="s">
        <v>51</v>
      </c>
      <c r="N123" s="1" t="s">
        <v>29</v>
      </c>
      <c r="O123">
        <v>3</v>
      </c>
      <c r="P123">
        <v>1</v>
      </c>
      <c r="Q123" t="str">
        <f t="shared" si="6"/>
        <v>CANDICE PETERSEN</v>
      </c>
      <c r="R123" t="str">
        <f t="shared" si="7"/>
        <v>italy</v>
      </c>
      <c r="S123" t="str">
        <f>PROPER(global_freelancer_raw[[#This Row],[NAME UPPER]])</f>
        <v>Candice Petersen</v>
      </c>
      <c r="T123" t="str">
        <f t="shared" si="8"/>
        <v>It</v>
      </c>
      <c r="U123" t="str">
        <f t="shared" si="5"/>
        <v>ice Pe</v>
      </c>
      <c r="V123" t="str">
        <f t="shared" si="9"/>
        <v>22</v>
      </c>
    </row>
    <row r="124" spans="1:22" x14ac:dyDescent="0.3">
      <c r="A124" s="1" t="s">
        <v>338</v>
      </c>
      <c r="B124" s="1" t="s">
        <v>339</v>
      </c>
      <c r="C124" s="1" t="s">
        <v>68</v>
      </c>
      <c r="D124">
        <v>48</v>
      </c>
      <c r="E124" s="1" t="s">
        <v>137</v>
      </c>
      <c r="F124" s="1" t="s">
        <v>26</v>
      </c>
      <c r="G124" s="1" t="s">
        <v>123</v>
      </c>
      <c r="H124">
        <v>15</v>
      </c>
      <c r="I124" t="s">
        <v>107</v>
      </c>
      <c r="J124">
        <v>1</v>
      </c>
      <c r="K124" t="s">
        <v>83</v>
      </c>
      <c r="L124">
        <v>0.64</v>
      </c>
      <c r="M124" s="1" t="s">
        <v>77</v>
      </c>
      <c r="N124" s="1" t="s">
        <v>65</v>
      </c>
      <c r="O124">
        <v>14</v>
      </c>
      <c r="P124">
        <v>5</v>
      </c>
      <c r="Q124" t="str">
        <f t="shared" si="6"/>
        <v>CHRISTOPHER NICHOLS</v>
      </c>
      <c r="R124" t="str">
        <f t="shared" si="7"/>
        <v>canada</v>
      </c>
      <c r="S124" t="str">
        <f>PROPER(global_freelancer_raw[[#This Row],[NAME UPPER]])</f>
        <v>Christopher Nichols</v>
      </c>
      <c r="T124" t="str">
        <f t="shared" si="8"/>
        <v>Ca</v>
      </c>
      <c r="U124" t="str">
        <f t="shared" si="5"/>
        <v>stophe</v>
      </c>
      <c r="V124" t="str">
        <f t="shared" si="9"/>
        <v>23</v>
      </c>
    </row>
    <row r="125" spans="1:22" x14ac:dyDescent="0.3">
      <c r="A125" s="1" t="s">
        <v>340</v>
      </c>
      <c r="B125" s="1" t="s">
        <v>341</v>
      </c>
      <c r="C125" s="1" t="s">
        <v>16</v>
      </c>
      <c r="D125">
        <v>27</v>
      </c>
      <c r="E125" s="1" t="s">
        <v>184</v>
      </c>
      <c r="F125" s="1" t="s">
        <v>185</v>
      </c>
      <c r="G125" s="1" t="s">
        <v>82</v>
      </c>
      <c r="H125">
        <v>8</v>
      </c>
      <c r="I125" t="s">
        <v>71</v>
      </c>
      <c r="J125">
        <v>0</v>
      </c>
      <c r="M125" s="1" t="s">
        <v>20</v>
      </c>
      <c r="N125" s="1" t="s">
        <v>21</v>
      </c>
      <c r="O125">
        <v>14</v>
      </c>
      <c r="P125">
        <v>6</v>
      </c>
      <c r="Q125" t="str">
        <f t="shared" si="6"/>
        <v>DEBRA GARCIA</v>
      </c>
      <c r="R125" t="str">
        <f t="shared" si="7"/>
        <v>china</v>
      </c>
      <c r="S125" t="str">
        <f>PROPER(global_freelancer_raw[[#This Row],[NAME UPPER]])</f>
        <v>Debra Garcia</v>
      </c>
      <c r="T125" t="str">
        <f t="shared" si="8"/>
        <v>Ch</v>
      </c>
      <c r="U125" t="str">
        <f t="shared" si="5"/>
        <v>a Garc</v>
      </c>
      <c r="V125" t="str">
        <f t="shared" si="9"/>
        <v>24</v>
      </c>
    </row>
    <row r="126" spans="1:22" x14ac:dyDescent="0.3">
      <c r="A126" s="1" t="s">
        <v>342</v>
      </c>
      <c r="B126" s="1" t="s">
        <v>343</v>
      </c>
      <c r="C126" s="1" t="s">
        <v>32</v>
      </c>
      <c r="D126">
        <v>34</v>
      </c>
      <c r="E126" s="1" t="s">
        <v>25</v>
      </c>
      <c r="F126" s="1" t="s">
        <v>26</v>
      </c>
      <c r="G126" s="1" t="s">
        <v>40</v>
      </c>
      <c r="H126">
        <v>10</v>
      </c>
      <c r="J126">
        <v>1.7</v>
      </c>
      <c r="K126" t="s">
        <v>35</v>
      </c>
      <c r="L126">
        <v>0.96</v>
      </c>
      <c r="M126" s="1" t="s">
        <v>20</v>
      </c>
      <c r="N126" s="1" t="s">
        <v>65</v>
      </c>
      <c r="O126">
        <v>7</v>
      </c>
      <c r="P126">
        <v>9</v>
      </c>
      <c r="Q126" t="str">
        <f t="shared" si="6"/>
        <v>ANDREW FUENTES</v>
      </c>
      <c r="R126" t="str">
        <f t="shared" si="7"/>
        <v>australia</v>
      </c>
      <c r="S126" t="str">
        <f>PROPER(global_freelancer_raw[[#This Row],[NAME UPPER]])</f>
        <v>Andrew Fuentes</v>
      </c>
      <c r="T126" t="str">
        <f t="shared" si="8"/>
        <v>Au</v>
      </c>
      <c r="U126" t="str">
        <f t="shared" si="5"/>
        <v>ew Fue</v>
      </c>
      <c r="V126" t="str">
        <f t="shared" si="9"/>
        <v>25</v>
      </c>
    </row>
    <row r="127" spans="1:22" x14ac:dyDescent="0.3">
      <c r="A127" s="1" t="s">
        <v>344</v>
      </c>
      <c r="B127" s="1" t="s">
        <v>345</v>
      </c>
      <c r="C127" s="1" t="s">
        <v>106</v>
      </c>
      <c r="D127">
        <v>49</v>
      </c>
      <c r="E127" s="1" t="s">
        <v>121</v>
      </c>
      <c r="F127" s="1" t="s">
        <v>122</v>
      </c>
      <c r="G127" s="1" t="s">
        <v>57</v>
      </c>
      <c r="H127">
        <v>19</v>
      </c>
      <c r="J127">
        <v>5</v>
      </c>
      <c r="K127" t="s">
        <v>83</v>
      </c>
      <c r="L127">
        <v>0.83</v>
      </c>
      <c r="M127" s="1" t="s">
        <v>72</v>
      </c>
      <c r="N127" s="1" t="s">
        <v>21</v>
      </c>
      <c r="O127">
        <v>11</v>
      </c>
      <c r="P127">
        <v>5</v>
      </c>
      <c r="Q127" t="str">
        <f t="shared" si="6"/>
        <v>JASON CARTER</v>
      </c>
      <c r="R127" t="str">
        <f t="shared" si="7"/>
        <v>south korea</v>
      </c>
      <c r="S127" t="str">
        <f>PROPER(global_freelancer_raw[[#This Row],[NAME UPPER]])</f>
        <v>Jason Carter</v>
      </c>
      <c r="T127" t="str">
        <f t="shared" si="8"/>
        <v>So</v>
      </c>
      <c r="U127" t="str">
        <f t="shared" si="5"/>
        <v>n Cart</v>
      </c>
      <c r="V127" t="str">
        <f t="shared" si="9"/>
        <v>26</v>
      </c>
    </row>
    <row r="128" spans="1:22" x14ac:dyDescent="0.3">
      <c r="A128" s="1" t="s">
        <v>346</v>
      </c>
      <c r="B128" s="1" t="s">
        <v>347</v>
      </c>
      <c r="C128" s="1" t="s">
        <v>32</v>
      </c>
      <c r="D128">
        <v>30</v>
      </c>
      <c r="E128" s="1" t="s">
        <v>116</v>
      </c>
      <c r="F128" s="1" t="s">
        <v>117</v>
      </c>
      <c r="G128" s="1" t="s">
        <v>27</v>
      </c>
      <c r="H128">
        <v>10</v>
      </c>
      <c r="I128" t="s">
        <v>238</v>
      </c>
      <c r="J128">
        <v>1.7</v>
      </c>
      <c r="K128" t="s">
        <v>76</v>
      </c>
      <c r="L128">
        <v>0.64</v>
      </c>
      <c r="M128" s="1" t="s">
        <v>77</v>
      </c>
      <c r="N128" s="1" t="s">
        <v>21</v>
      </c>
      <c r="O128">
        <v>14</v>
      </c>
      <c r="P128">
        <v>9</v>
      </c>
      <c r="Q128" t="str">
        <f t="shared" si="6"/>
        <v>AUSTIN ROMERO</v>
      </c>
      <c r="R128" t="str">
        <f t="shared" si="7"/>
        <v>brazil</v>
      </c>
      <c r="S128" t="str">
        <f>PROPER(global_freelancer_raw[[#This Row],[NAME UPPER]])</f>
        <v>Austin Romero</v>
      </c>
      <c r="T128" t="str">
        <f t="shared" si="8"/>
        <v>Br</v>
      </c>
      <c r="U128" t="str">
        <f t="shared" si="5"/>
        <v>in Rom</v>
      </c>
      <c r="V128" t="str">
        <f t="shared" si="9"/>
        <v>27</v>
      </c>
    </row>
    <row r="129" spans="1:22" x14ac:dyDescent="0.3">
      <c r="A129" s="1" t="s">
        <v>348</v>
      </c>
      <c r="B129" s="1" t="s">
        <v>349</v>
      </c>
      <c r="C129" s="1" t="s">
        <v>32</v>
      </c>
      <c r="D129">
        <v>31</v>
      </c>
      <c r="E129" s="1" t="s">
        <v>148</v>
      </c>
      <c r="F129" s="1" t="s">
        <v>149</v>
      </c>
      <c r="G129" s="1" t="s">
        <v>34</v>
      </c>
      <c r="H129">
        <v>8</v>
      </c>
      <c r="I129">
        <v>40</v>
      </c>
      <c r="J129">
        <v>4.4000000000000004</v>
      </c>
      <c r="K129">
        <v>0</v>
      </c>
      <c r="L129">
        <v>0.7</v>
      </c>
      <c r="M129" s="1" t="s">
        <v>51</v>
      </c>
      <c r="N129" s="1" t="s">
        <v>65</v>
      </c>
      <c r="O129">
        <v>15</v>
      </c>
      <c r="P129">
        <v>5</v>
      </c>
      <c r="Q129" t="str">
        <f t="shared" si="6"/>
        <v>CLAYTON BURNS</v>
      </c>
      <c r="R129" t="str">
        <f t="shared" si="7"/>
        <v>egypt</v>
      </c>
      <c r="S129" t="str">
        <f>PROPER(global_freelancer_raw[[#This Row],[NAME UPPER]])</f>
        <v>Clayton Burns</v>
      </c>
      <c r="T129" t="str">
        <f t="shared" si="8"/>
        <v>Eg</v>
      </c>
      <c r="U129" t="str">
        <f t="shared" si="5"/>
        <v>ton Bu</v>
      </c>
      <c r="V129" t="str">
        <f t="shared" si="9"/>
        <v>28</v>
      </c>
    </row>
    <row r="130" spans="1:22" x14ac:dyDescent="0.3">
      <c r="A130" s="1" t="s">
        <v>350</v>
      </c>
      <c r="B130" s="1" t="s">
        <v>351</v>
      </c>
      <c r="C130" s="1" t="s">
        <v>54</v>
      </c>
      <c r="D130">
        <v>58</v>
      </c>
      <c r="E130" s="1" t="s">
        <v>184</v>
      </c>
      <c r="F130" s="1" t="s">
        <v>185</v>
      </c>
      <c r="G130" s="1" t="s">
        <v>123</v>
      </c>
      <c r="H130">
        <v>9</v>
      </c>
      <c r="I130">
        <v>20</v>
      </c>
      <c r="J130">
        <v>0</v>
      </c>
      <c r="K130" t="s">
        <v>35</v>
      </c>
      <c r="L130">
        <v>0.65</v>
      </c>
      <c r="M130" s="1" t="s">
        <v>77</v>
      </c>
      <c r="N130" s="1" t="s">
        <v>65</v>
      </c>
      <c r="O130">
        <v>15</v>
      </c>
      <c r="P130">
        <v>7</v>
      </c>
      <c r="Q130" t="str">
        <f t="shared" si="6"/>
        <v>JONATHAN CLARK</v>
      </c>
      <c r="R130" t="str">
        <f t="shared" si="7"/>
        <v>china</v>
      </c>
      <c r="S130" t="str">
        <f>PROPER(global_freelancer_raw[[#This Row],[NAME UPPER]])</f>
        <v>Jonathan Clark</v>
      </c>
      <c r="T130" t="str">
        <f t="shared" si="8"/>
        <v>Ch</v>
      </c>
      <c r="U130" t="str">
        <f t="shared" ref="U130:U193" si="10">MID(B130,5,6)</f>
        <v>than C</v>
      </c>
      <c r="V130" t="str">
        <f t="shared" si="9"/>
        <v>29</v>
      </c>
    </row>
    <row r="131" spans="1:22" x14ac:dyDescent="0.3">
      <c r="A131" s="1" t="s">
        <v>352</v>
      </c>
      <c r="B131" s="1" t="s">
        <v>353</v>
      </c>
      <c r="C131" s="1" t="s">
        <v>106</v>
      </c>
      <c r="D131">
        <v>47</v>
      </c>
      <c r="E131" s="1" t="s">
        <v>144</v>
      </c>
      <c r="F131" s="1" t="s">
        <v>145</v>
      </c>
      <c r="G131" s="1" t="s">
        <v>123</v>
      </c>
      <c r="H131">
        <v>13</v>
      </c>
      <c r="I131">
        <v>40</v>
      </c>
      <c r="J131">
        <v>3.4</v>
      </c>
      <c r="L131">
        <v>0.67</v>
      </c>
      <c r="M131" s="1" t="s">
        <v>72</v>
      </c>
      <c r="N131" s="1" t="s">
        <v>36</v>
      </c>
      <c r="O131">
        <v>7</v>
      </c>
      <c r="P131">
        <v>3</v>
      </c>
      <c r="Q131" t="str">
        <f t="shared" ref="Q131:Q194" si="11">UPPER(B131)</f>
        <v>ALEXANDER GRIFFIN</v>
      </c>
      <c r="R131" t="str">
        <f t="shared" ref="R131:R194" si="12">LOWER(E131)</f>
        <v>france</v>
      </c>
      <c r="S131" t="str">
        <f>PROPER(global_freelancer_raw[[#This Row],[NAME UPPER]])</f>
        <v>Alexander Griffin</v>
      </c>
      <c r="T131" t="str">
        <f t="shared" ref="T131:T194" si="13">LEFT(E131,"2")</f>
        <v>Fr</v>
      </c>
      <c r="U131" t="str">
        <f t="shared" si="10"/>
        <v xml:space="preserve">ander </v>
      </c>
      <c r="V131" t="str">
        <f t="shared" ref="V131:V194" si="14">RIGHT(A131,"2")</f>
        <v>30</v>
      </c>
    </row>
    <row r="132" spans="1:22" x14ac:dyDescent="0.3">
      <c r="A132" s="1" t="s">
        <v>354</v>
      </c>
      <c r="B132" s="1" t="s">
        <v>355</v>
      </c>
      <c r="C132" s="1" t="s">
        <v>16</v>
      </c>
      <c r="D132">
        <v>45</v>
      </c>
      <c r="E132" s="1" t="s">
        <v>75</v>
      </c>
      <c r="F132" s="1" t="s">
        <v>26</v>
      </c>
      <c r="G132" s="1" t="s">
        <v>87</v>
      </c>
      <c r="H132">
        <v>14</v>
      </c>
      <c r="I132" t="s">
        <v>28</v>
      </c>
      <c r="J132">
        <v>1.1000000000000001</v>
      </c>
      <c r="K132" t="s">
        <v>168</v>
      </c>
      <c r="L132">
        <v>93</v>
      </c>
      <c r="M132" s="1" t="s">
        <v>72</v>
      </c>
      <c r="N132" s="1" t="s">
        <v>29</v>
      </c>
      <c r="O132">
        <v>12</v>
      </c>
      <c r="P132">
        <v>12</v>
      </c>
      <c r="Q132" t="str">
        <f t="shared" si="11"/>
        <v>SHELLY WHITEHEAD</v>
      </c>
      <c r="R132" t="str">
        <f t="shared" si="12"/>
        <v>uk</v>
      </c>
      <c r="S132" t="str">
        <f>PROPER(global_freelancer_raw[[#This Row],[NAME UPPER]])</f>
        <v>Shelly Whitehead</v>
      </c>
      <c r="T132" t="str">
        <f t="shared" si="13"/>
        <v>UK</v>
      </c>
      <c r="U132" t="str">
        <f t="shared" si="10"/>
        <v>ly Whi</v>
      </c>
      <c r="V132" t="str">
        <f t="shared" si="14"/>
        <v>31</v>
      </c>
    </row>
    <row r="133" spans="1:22" x14ac:dyDescent="0.3">
      <c r="A133" s="1" t="s">
        <v>356</v>
      </c>
      <c r="B133" s="1" t="s">
        <v>357</v>
      </c>
      <c r="C133" s="1" t="s">
        <v>24</v>
      </c>
      <c r="D133">
        <v>57</v>
      </c>
      <c r="E133" s="1" t="s">
        <v>144</v>
      </c>
      <c r="F133" s="1" t="s">
        <v>145</v>
      </c>
      <c r="G133" s="1" t="s">
        <v>123</v>
      </c>
      <c r="H133">
        <v>0</v>
      </c>
      <c r="I133">
        <v>50</v>
      </c>
      <c r="J133">
        <v>1.6</v>
      </c>
      <c r="K133" t="s">
        <v>35</v>
      </c>
      <c r="L133">
        <v>0.6</v>
      </c>
      <c r="M133" s="1" t="s">
        <v>77</v>
      </c>
      <c r="N133" s="1" t="s">
        <v>21</v>
      </c>
      <c r="O133">
        <v>3</v>
      </c>
      <c r="P133">
        <v>2</v>
      </c>
      <c r="Q133" t="str">
        <f t="shared" si="11"/>
        <v>KAITLYN DAVIS</v>
      </c>
      <c r="R133" t="str">
        <f t="shared" si="12"/>
        <v>france</v>
      </c>
      <c r="S133" t="str">
        <f>PROPER(global_freelancer_raw[[#This Row],[NAME UPPER]])</f>
        <v>Kaitlyn Davis</v>
      </c>
      <c r="T133" t="str">
        <f t="shared" si="13"/>
        <v>Fr</v>
      </c>
      <c r="U133" t="str">
        <f t="shared" si="10"/>
        <v>lyn Da</v>
      </c>
      <c r="V133" t="str">
        <f t="shared" si="14"/>
        <v>32</v>
      </c>
    </row>
    <row r="134" spans="1:22" x14ac:dyDescent="0.3">
      <c r="A134" s="1" t="s">
        <v>358</v>
      </c>
      <c r="B134" s="1" t="s">
        <v>359</v>
      </c>
      <c r="C134" s="1" t="s">
        <v>68</v>
      </c>
      <c r="D134">
        <v>50</v>
      </c>
      <c r="E134" s="1" t="s">
        <v>102</v>
      </c>
      <c r="F134" s="1" t="s">
        <v>103</v>
      </c>
      <c r="G134" s="1" t="s">
        <v>40</v>
      </c>
      <c r="H134">
        <v>22</v>
      </c>
      <c r="I134">
        <v>100</v>
      </c>
      <c r="J134">
        <v>4.0999999999999996</v>
      </c>
      <c r="K134" t="s">
        <v>35</v>
      </c>
      <c r="L134">
        <v>0.62</v>
      </c>
      <c r="M134" s="1" t="s">
        <v>77</v>
      </c>
      <c r="N134" s="1" t="s">
        <v>36</v>
      </c>
      <c r="O134">
        <v>17</v>
      </c>
      <c r="P134">
        <v>6</v>
      </c>
      <c r="Q134" t="str">
        <f t="shared" si="11"/>
        <v>CHRISTOPHER JONES</v>
      </c>
      <c r="R134" t="str">
        <f t="shared" si="12"/>
        <v>india</v>
      </c>
      <c r="S134" t="str">
        <f>PROPER(global_freelancer_raw[[#This Row],[NAME UPPER]])</f>
        <v>Christopher Jones</v>
      </c>
      <c r="T134" t="str">
        <f t="shared" si="13"/>
        <v>In</v>
      </c>
      <c r="U134" t="str">
        <f t="shared" si="10"/>
        <v>stophe</v>
      </c>
      <c r="V134" t="str">
        <f t="shared" si="14"/>
        <v>33</v>
      </c>
    </row>
    <row r="135" spans="1:22" x14ac:dyDescent="0.3">
      <c r="A135" s="1" t="s">
        <v>360</v>
      </c>
      <c r="B135" s="1" t="s">
        <v>361</v>
      </c>
      <c r="C135" s="1" t="s">
        <v>24</v>
      </c>
      <c r="E135" s="1" t="s">
        <v>116</v>
      </c>
      <c r="F135" s="1" t="s">
        <v>117</v>
      </c>
      <c r="G135" s="1" t="s">
        <v>123</v>
      </c>
      <c r="H135">
        <v>4</v>
      </c>
      <c r="J135">
        <v>2.5</v>
      </c>
      <c r="L135">
        <v>0.7</v>
      </c>
      <c r="M135" s="1" t="s">
        <v>77</v>
      </c>
      <c r="N135" s="1" t="s">
        <v>65</v>
      </c>
      <c r="O135">
        <v>2</v>
      </c>
      <c r="P135">
        <v>1</v>
      </c>
      <c r="Q135" t="str">
        <f t="shared" si="11"/>
        <v>CINDY JACOBS</v>
      </c>
      <c r="R135" t="str">
        <f t="shared" si="12"/>
        <v>brazil</v>
      </c>
      <c r="S135" t="str">
        <f>PROPER(global_freelancer_raw[[#This Row],[NAME UPPER]])</f>
        <v>Cindy Jacobs</v>
      </c>
      <c r="T135" t="str">
        <f t="shared" si="13"/>
        <v>Br</v>
      </c>
      <c r="U135" t="str">
        <f t="shared" si="10"/>
        <v>y Jaco</v>
      </c>
      <c r="V135" t="str">
        <f t="shared" si="14"/>
        <v>34</v>
      </c>
    </row>
    <row r="136" spans="1:22" x14ac:dyDescent="0.3">
      <c r="A136" s="1" t="s">
        <v>362</v>
      </c>
      <c r="B136" s="1" t="s">
        <v>363</v>
      </c>
      <c r="C136" s="1" t="s">
        <v>86</v>
      </c>
      <c r="D136">
        <v>45</v>
      </c>
      <c r="E136" s="1" t="s">
        <v>55</v>
      </c>
      <c r="F136" s="1" t="s">
        <v>56</v>
      </c>
      <c r="G136" s="1" t="s">
        <v>19</v>
      </c>
      <c r="H136">
        <v>22</v>
      </c>
      <c r="I136" t="s">
        <v>238</v>
      </c>
      <c r="J136">
        <v>4</v>
      </c>
      <c r="K136" t="s">
        <v>83</v>
      </c>
      <c r="L136">
        <v>0.75</v>
      </c>
      <c r="M136" s="1" t="s">
        <v>20</v>
      </c>
      <c r="N136" s="1" t="s">
        <v>29</v>
      </c>
      <c r="O136">
        <v>16</v>
      </c>
      <c r="P136">
        <v>4</v>
      </c>
      <c r="Q136" t="str">
        <f t="shared" si="11"/>
        <v>PENNY DAY</v>
      </c>
      <c r="R136" t="str">
        <f t="shared" si="12"/>
        <v>indonesia</v>
      </c>
      <c r="S136" t="str">
        <f>PROPER(global_freelancer_raw[[#This Row],[NAME UPPER]])</f>
        <v>Penny Day</v>
      </c>
      <c r="T136" t="str">
        <f t="shared" si="13"/>
        <v>In</v>
      </c>
      <c r="U136" t="str">
        <f t="shared" si="10"/>
        <v>y Day</v>
      </c>
      <c r="V136" t="str">
        <f t="shared" si="14"/>
        <v>35</v>
      </c>
    </row>
    <row r="137" spans="1:22" x14ac:dyDescent="0.3">
      <c r="A137" s="1" t="s">
        <v>364</v>
      </c>
      <c r="B137" s="1" t="s">
        <v>365</v>
      </c>
      <c r="C137" s="1" t="s">
        <v>68</v>
      </c>
      <c r="D137">
        <v>60</v>
      </c>
      <c r="E137" s="1" t="s">
        <v>162</v>
      </c>
      <c r="F137" s="1" t="s">
        <v>163</v>
      </c>
      <c r="G137" s="1" t="s">
        <v>87</v>
      </c>
      <c r="H137">
        <v>39</v>
      </c>
      <c r="I137">
        <v>75</v>
      </c>
      <c r="J137">
        <v>1.4</v>
      </c>
      <c r="K137" t="s">
        <v>168</v>
      </c>
      <c r="L137">
        <v>0.7</v>
      </c>
      <c r="M137" s="1" t="s">
        <v>51</v>
      </c>
      <c r="N137" s="1" t="s">
        <v>36</v>
      </c>
      <c r="O137">
        <v>10</v>
      </c>
      <c r="P137">
        <v>3</v>
      </c>
      <c r="Q137" t="str">
        <f t="shared" si="11"/>
        <v>THOMAS INGRAM</v>
      </c>
      <c r="R137" t="str">
        <f t="shared" si="12"/>
        <v>south africa</v>
      </c>
      <c r="S137" t="str">
        <f>PROPER(global_freelancer_raw[[#This Row],[NAME UPPER]])</f>
        <v>Thomas Ingram</v>
      </c>
      <c r="T137" t="str">
        <f t="shared" si="13"/>
        <v>So</v>
      </c>
      <c r="U137" t="str">
        <f t="shared" si="10"/>
        <v>as Ing</v>
      </c>
      <c r="V137" t="str">
        <f t="shared" si="14"/>
        <v>36</v>
      </c>
    </row>
    <row r="138" spans="1:22" x14ac:dyDescent="0.3">
      <c r="A138" s="1" t="s">
        <v>366</v>
      </c>
      <c r="B138" s="1" t="s">
        <v>367</v>
      </c>
      <c r="C138" s="1" t="s">
        <v>44</v>
      </c>
      <c r="D138">
        <v>43</v>
      </c>
      <c r="E138" s="1" t="s">
        <v>75</v>
      </c>
      <c r="F138" s="1" t="s">
        <v>26</v>
      </c>
      <c r="G138" s="1" t="s">
        <v>87</v>
      </c>
      <c r="H138">
        <v>5</v>
      </c>
      <c r="I138" t="s">
        <v>107</v>
      </c>
      <c r="K138">
        <v>1</v>
      </c>
      <c r="L138">
        <v>0.84</v>
      </c>
      <c r="M138" s="1" t="s">
        <v>77</v>
      </c>
      <c r="N138" s="1" t="s">
        <v>21</v>
      </c>
      <c r="O138">
        <v>1</v>
      </c>
      <c r="P138">
        <v>3</v>
      </c>
      <c r="Q138" t="str">
        <f t="shared" si="11"/>
        <v>DONNA HANSEN</v>
      </c>
      <c r="R138" t="str">
        <f t="shared" si="12"/>
        <v>uk</v>
      </c>
      <c r="S138" t="str">
        <f>PROPER(global_freelancer_raw[[#This Row],[NAME UPPER]])</f>
        <v>Donna Hansen</v>
      </c>
      <c r="T138" t="str">
        <f t="shared" si="13"/>
        <v>UK</v>
      </c>
      <c r="U138" t="str">
        <f t="shared" si="10"/>
        <v>a Hans</v>
      </c>
      <c r="V138" t="str">
        <f t="shared" si="14"/>
        <v>37</v>
      </c>
    </row>
    <row r="139" spans="1:22" x14ac:dyDescent="0.3">
      <c r="A139" s="1" t="s">
        <v>368</v>
      </c>
      <c r="B139" s="1" t="s">
        <v>369</v>
      </c>
      <c r="C139" s="1" t="s">
        <v>39</v>
      </c>
      <c r="D139">
        <v>39</v>
      </c>
      <c r="E139" s="1" t="s">
        <v>144</v>
      </c>
      <c r="F139" s="1" t="s">
        <v>145</v>
      </c>
      <c r="G139" s="1" t="s">
        <v>87</v>
      </c>
      <c r="H139">
        <v>5</v>
      </c>
      <c r="I139" t="s">
        <v>61</v>
      </c>
      <c r="J139">
        <v>1.2</v>
      </c>
      <c r="K139">
        <v>0</v>
      </c>
      <c r="L139">
        <v>83</v>
      </c>
      <c r="M139" s="1" t="s">
        <v>77</v>
      </c>
      <c r="N139" s="1" t="s">
        <v>36</v>
      </c>
      <c r="O139">
        <v>4</v>
      </c>
      <c r="P139">
        <v>1</v>
      </c>
      <c r="Q139" t="str">
        <f t="shared" si="11"/>
        <v>DONNA BAILEY</v>
      </c>
      <c r="R139" t="str">
        <f t="shared" si="12"/>
        <v>france</v>
      </c>
      <c r="S139" t="str">
        <f>PROPER(global_freelancer_raw[[#This Row],[NAME UPPER]])</f>
        <v>Donna Bailey</v>
      </c>
      <c r="T139" t="str">
        <f t="shared" si="13"/>
        <v>Fr</v>
      </c>
      <c r="U139" t="str">
        <f t="shared" si="10"/>
        <v>a Bail</v>
      </c>
      <c r="V139" t="str">
        <f t="shared" si="14"/>
        <v>38</v>
      </c>
    </row>
    <row r="140" spans="1:22" x14ac:dyDescent="0.3">
      <c r="A140" s="1" t="s">
        <v>370</v>
      </c>
      <c r="B140" s="1" t="s">
        <v>371</v>
      </c>
      <c r="C140" s="1" t="s">
        <v>32</v>
      </c>
      <c r="D140">
        <v>26</v>
      </c>
      <c r="E140" s="1" t="s">
        <v>188</v>
      </c>
      <c r="F140" s="1" t="s">
        <v>81</v>
      </c>
      <c r="G140" s="1" t="s">
        <v>82</v>
      </c>
      <c r="H140">
        <v>5</v>
      </c>
      <c r="I140">
        <v>50</v>
      </c>
      <c r="J140">
        <v>0</v>
      </c>
      <c r="K140" t="s">
        <v>35</v>
      </c>
      <c r="M140" s="1" t="s">
        <v>77</v>
      </c>
      <c r="N140" s="1" t="s">
        <v>21</v>
      </c>
      <c r="O140">
        <v>3</v>
      </c>
      <c r="P140">
        <v>1</v>
      </c>
      <c r="Q140" t="str">
        <f t="shared" si="11"/>
        <v>JOSHUA ARMSTRONG</v>
      </c>
      <c r="R140" t="str">
        <f t="shared" si="12"/>
        <v>mexico</v>
      </c>
      <c r="S140" t="str">
        <f>PROPER(global_freelancer_raw[[#This Row],[NAME UPPER]])</f>
        <v>Joshua Armstrong</v>
      </c>
      <c r="T140" t="str">
        <f t="shared" si="13"/>
        <v>Me</v>
      </c>
      <c r="U140" t="str">
        <f t="shared" si="10"/>
        <v>ua Arm</v>
      </c>
      <c r="V140" t="str">
        <f t="shared" si="14"/>
        <v>39</v>
      </c>
    </row>
    <row r="141" spans="1:22" x14ac:dyDescent="0.3">
      <c r="A141" s="1" t="s">
        <v>372</v>
      </c>
      <c r="B141" s="1" t="s">
        <v>373</v>
      </c>
      <c r="C141" s="1" t="s">
        <v>54</v>
      </c>
      <c r="D141">
        <v>31</v>
      </c>
      <c r="E141" s="1" t="s">
        <v>33</v>
      </c>
      <c r="F141" s="1" t="s">
        <v>33</v>
      </c>
      <c r="G141" s="1" t="s">
        <v>87</v>
      </c>
      <c r="H141">
        <v>11</v>
      </c>
      <c r="I141">
        <v>50</v>
      </c>
      <c r="J141">
        <v>3.1</v>
      </c>
      <c r="K141" t="b">
        <v>0</v>
      </c>
      <c r="L141">
        <v>0.88</v>
      </c>
      <c r="M141" s="1" t="s">
        <v>72</v>
      </c>
      <c r="N141" s="1" t="s">
        <v>65</v>
      </c>
      <c r="O141">
        <v>14</v>
      </c>
      <c r="P141">
        <v>3</v>
      </c>
      <c r="Q141" t="str">
        <f t="shared" si="11"/>
        <v>JONATHAN GARZA</v>
      </c>
      <c r="R141" t="str">
        <f t="shared" si="12"/>
        <v>germany</v>
      </c>
      <c r="S141" t="str">
        <f>PROPER(global_freelancer_raw[[#This Row],[NAME UPPER]])</f>
        <v>Jonathan Garza</v>
      </c>
      <c r="T141" t="str">
        <f t="shared" si="13"/>
        <v>Ge</v>
      </c>
      <c r="U141" t="str">
        <f t="shared" si="10"/>
        <v>than G</v>
      </c>
      <c r="V141" t="str">
        <f t="shared" si="14"/>
        <v>40</v>
      </c>
    </row>
    <row r="142" spans="1:22" x14ac:dyDescent="0.3">
      <c r="A142" s="1" t="s">
        <v>374</v>
      </c>
      <c r="B142" s="1" t="s">
        <v>375</v>
      </c>
      <c r="C142" s="1" t="s">
        <v>54</v>
      </c>
      <c r="D142">
        <v>52</v>
      </c>
      <c r="E142" s="1" t="s">
        <v>144</v>
      </c>
      <c r="F142" s="1" t="s">
        <v>145</v>
      </c>
      <c r="G142" s="1" t="s">
        <v>82</v>
      </c>
      <c r="H142">
        <v>15</v>
      </c>
      <c r="I142">
        <v>50</v>
      </c>
      <c r="J142">
        <v>0</v>
      </c>
      <c r="K142" t="s">
        <v>76</v>
      </c>
      <c r="L142">
        <v>0.81</v>
      </c>
      <c r="M142" s="1" t="s">
        <v>72</v>
      </c>
      <c r="N142" s="1" t="s">
        <v>29</v>
      </c>
      <c r="O142">
        <v>10</v>
      </c>
      <c r="P142">
        <v>12</v>
      </c>
      <c r="Q142" t="str">
        <f t="shared" si="11"/>
        <v>CHARLES JONES</v>
      </c>
      <c r="R142" t="str">
        <f t="shared" si="12"/>
        <v>france</v>
      </c>
      <c r="S142" t="str">
        <f>PROPER(global_freelancer_raw[[#This Row],[NAME UPPER]])</f>
        <v>Charles Jones</v>
      </c>
      <c r="T142" t="str">
        <f t="shared" si="13"/>
        <v>Fr</v>
      </c>
      <c r="U142" t="str">
        <f t="shared" si="10"/>
        <v>les Jo</v>
      </c>
      <c r="V142" t="str">
        <f t="shared" si="14"/>
        <v>41</v>
      </c>
    </row>
    <row r="143" spans="1:22" x14ac:dyDescent="0.3">
      <c r="A143" s="1" t="s">
        <v>376</v>
      </c>
      <c r="B143" s="1" t="s">
        <v>377</v>
      </c>
      <c r="C143" s="1" t="s">
        <v>44</v>
      </c>
      <c r="D143">
        <v>34</v>
      </c>
      <c r="E143" s="1" t="s">
        <v>102</v>
      </c>
      <c r="F143" s="1" t="s">
        <v>103</v>
      </c>
      <c r="G143" s="1" t="s">
        <v>57</v>
      </c>
      <c r="H143">
        <v>5</v>
      </c>
      <c r="I143" t="s">
        <v>323</v>
      </c>
      <c r="J143">
        <v>2.2000000000000002</v>
      </c>
      <c r="K143" t="s">
        <v>83</v>
      </c>
      <c r="L143">
        <v>0.8</v>
      </c>
      <c r="M143" s="1" t="s">
        <v>20</v>
      </c>
      <c r="N143" s="1" t="s">
        <v>29</v>
      </c>
      <c r="O143">
        <v>3</v>
      </c>
      <c r="P143">
        <v>3</v>
      </c>
      <c r="Q143" t="str">
        <f t="shared" si="11"/>
        <v>LINDSEY MILES</v>
      </c>
      <c r="R143" t="str">
        <f t="shared" si="12"/>
        <v>india</v>
      </c>
      <c r="S143" t="str">
        <f>PROPER(global_freelancer_raw[[#This Row],[NAME UPPER]])</f>
        <v>Lindsey Miles</v>
      </c>
      <c r="T143" t="str">
        <f t="shared" si="13"/>
        <v>In</v>
      </c>
      <c r="U143" t="str">
        <f t="shared" si="10"/>
        <v>sey Mi</v>
      </c>
      <c r="V143" t="str">
        <f t="shared" si="14"/>
        <v>42</v>
      </c>
    </row>
    <row r="144" spans="1:22" x14ac:dyDescent="0.3">
      <c r="A144" s="1" t="s">
        <v>378</v>
      </c>
      <c r="B144" s="1" t="s">
        <v>379</v>
      </c>
      <c r="C144" s="1" t="s">
        <v>32</v>
      </c>
      <c r="D144">
        <v>45</v>
      </c>
      <c r="E144" s="1" t="s">
        <v>75</v>
      </c>
      <c r="F144" s="1" t="s">
        <v>26</v>
      </c>
      <c r="G144" s="1" t="s">
        <v>40</v>
      </c>
      <c r="H144">
        <v>7</v>
      </c>
      <c r="I144">
        <v>75</v>
      </c>
      <c r="J144">
        <v>3</v>
      </c>
      <c r="K144">
        <v>1</v>
      </c>
      <c r="L144">
        <v>0.67</v>
      </c>
      <c r="M144" s="1" t="s">
        <v>51</v>
      </c>
      <c r="N144" s="1" t="s">
        <v>29</v>
      </c>
      <c r="O144">
        <v>7</v>
      </c>
      <c r="P144">
        <v>8</v>
      </c>
      <c r="Q144" t="str">
        <f t="shared" si="11"/>
        <v>EDUARDO REED</v>
      </c>
      <c r="R144" t="str">
        <f t="shared" si="12"/>
        <v>uk</v>
      </c>
      <c r="S144" t="str">
        <f>PROPER(global_freelancer_raw[[#This Row],[NAME UPPER]])</f>
        <v>Eduardo Reed</v>
      </c>
      <c r="T144" t="str">
        <f t="shared" si="13"/>
        <v>UK</v>
      </c>
      <c r="U144" t="str">
        <f t="shared" si="10"/>
        <v>rdo Re</v>
      </c>
      <c r="V144" t="str">
        <f t="shared" si="14"/>
        <v>43</v>
      </c>
    </row>
    <row r="145" spans="1:22" x14ac:dyDescent="0.3">
      <c r="A145" s="1" t="s">
        <v>380</v>
      </c>
      <c r="B145" s="1" t="s">
        <v>381</v>
      </c>
      <c r="C145" s="1" t="s">
        <v>54</v>
      </c>
      <c r="D145">
        <v>46</v>
      </c>
      <c r="E145" s="1" t="s">
        <v>75</v>
      </c>
      <c r="F145" s="1" t="s">
        <v>26</v>
      </c>
      <c r="G145" s="1" t="s">
        <v>87</v>
      </c>
      <c r="H145">
        <v>9</v>
      </c>
      <c r="I145" t="s">
        <v>130</v>
      </c>
      <c r="J145">
        <v>0</v>
      </c>
      <c r="K145" t="s">
        <v>35</v>
      </c>
      <c r="L145">
        <v>0.82</v>
      </c>
      <c r="M145" s="1" t="s">
        <v>20</v>
      </c>
      <c r="N145" s="1" t="s">
        <v>65</v>
      </c>
      <c r="O145">
        <v>14</v>
      </c>
      <c r="P145">
        <v>6</v>
      </c>
      <c r="Q145" t="str">
        <f t="shared" si="11"/>
        <v>LEE FOWLER</v>
      </c>
      <c r="R145" t="str">
        <f t="shared" si="12"/>
        <v>uk</v>
      </c>
      <c r="S145" t="str">
        <f>PROPER(global_freelancer_raw[[#This Row],[NAME UPPER]])</f>
        <v>Lee Fowler</v>
      </c>
      <c r="T145" t="str">
        <f t="shared" si="13"/>
        <v>UK</v>
      </c>
      <c r="U145" t="str">
        <f t="shared" si="10"/>
        <v>Fowler</v>
      </c>
      <c r="V145" t="str">
        <f t="shared" si="14"/>
        <v>44</v>
      </c>
    </row>
    <row r="146" spans="1:22" x14ac:dyDescent="0.3">
      <c r="A146" s="1" t="s">
        <v>382</v>
      </c>
      <c r="B146" s="1" t="s">
        <v>383</v>
      </c>
      <c r="C146" s="1" t="s">
        <v>54</v>
      </c>
      <c r="D146">
        <v>56</v>
      </c>
      <c r="E146" s="1" t="s">
        <v>144</v>
      </c>
      <c r="F146" s="1" t="s">
        <v>145</v>
      </c>
      <c r="G146" s="1" t="s">
        <v>82</v>
      </c>
      <c r="H146">
        <v>21</v>
      </c>
      <c r="I146" t="s">
        <v>28</v>
      </c>
      <c r="J146">
        <v>0</v>
      </c>
      <c r="K146" t="b">
        <v>1</v>
      </c>
      <c r="L146">
        <v>78</v>
      </c>
      <c r="M146" s="1" t="s">
        <v>51</v>
      </c>
      <c r="N146" s="1" t="s">
        <v>21</v>
      </c>
      <c r="O146">
        <v>18</v>
      </c>
      <c r="P146">
        <v>13</v>
      </c>
      <c r="Q146" t="str">
        <f t="shared" si="11"/>
        <v>STEVEN JONES JR.</v>
      </c>
      <c r="R146" t="str">
        <f t="shared" si="12"/>
        <v>france</v>
      </c>
      <c r="S146" t="str">
        <f>PROPER(global_freelancer_raw[[#This Row],[NAME UPPER]])</f>
        <v>Steven Jones Jr.</v>
      </c>
      <c r="T146" t="str">
        <f t="shared" si="13"/>
        <v>Fr</v>
      </c>
      <c r="U146" t="str">
        <f t="shared" si="10"/>
        <v>en Jon</v>
      </c>
      <c r="V146" t="str">
        <f t="shared" si="14"/>
        <v>45</v>
      </c>
    </row>
    <row r="147" spans="1:22" x14ac:dyDescent="0.3">
      <c r="A147" s="1" t="s">
        <v>384</v>
      </c>
      <c r="B147" s="1" t="s">
        <v>385</v>
      </c>
      <c r="C147" s="1" t="s">
        <v>24</v>
      </c>
      <c r="D147">
        <v>59</v>
      </c>
      <c r="E147" s="1" t="s">
        <v>33</v>
      </c>
      <c r="F147" s="1" t="s">
        <v>33</v>
      </c>
      <c r="G147" s="1" t="s">
        <v>49</v>
      </c>
      <c r="H147">
        <v>7</v>
      </c>
      <c r="I147" t="s">
        <v>41</v>
      </c>
      <c r="J147">
        <v>1.4</v>
      </c>
      <c r="K147" t="b">
        <v>0</v>
      </c>
      <c r="L147">
        <v>0.81</v>
      </c>
      <c r="M147" s="1" t="s">
        <v>72</v>
      </c>
      <c r="N147" s="1" t="s">
        <v>65</v>
      </c>
      <c r="O147">
        <v>9</v>
      </c>
      <c r="P147">
        <v>11</v>
      </c>
      <c r="Q147" t="str">
        <f t="shared" si="11"/>
        <v>ASHLEY CHEN</v>
      </c>
      <c r="R147" t="str">
        <f t="shared" si="12"/>
        <v>germany</v>
      </c>
      <c r="S147" t="str">
        <f>PROPER(global_freelancer_raw[[#This Row],[NAME UPPER]])</f>
        <v>Ashley Chen</v>
      </c>
      <c r="T147" t="str">
        <f t="shared" si="13"/>
        <v>Ge</v>
      </c>
      <c r="U147" t="str">
        <f t="shared" si="10"/>
        <v>ey Che</v>
      </c>
      <c r="V147" t="str">
        <f t="shared" si="14"/>
        <v>46</v>
      </c>
    </row>
    <row r="148" spans="1:22" x14ac:dyDescent="0.3">
      <c r="A148" s="1" t="s">
        <v>386</v>
      </c>
      <c r="B148" s="1" t="s">
        <v>387</v>
      </c>
      <c r="C148" s="1" t="s">
        <v>24</v>
      </c>
      <c r="D148">
        <v>54</v>
      </c>
      <c r="E148" s="1" t="s">
        <v>148</v>
      </c>
      <c r="F148" s="1" t="s">
        <v>149</v>
      </c>
      <c r="G148" s="1" t="s">
        <v>19</v>
      </c>
      <c r="H148">
        <v>4</v>
      </c>
      <c r="J148">
        <v>1.4</v>
      </c>
      <c r="K148" t="b">
        <v>1</v>
      </c>
      <c r="L148">
        <v>0.74</v>
      </c>
      <c r="M148" s="1" t="s">
        <v>72</v>
      </c>
      <c r="N148" s="1" t="s">
        <v>29</v>
      </c>
      <c r="O148">
        <v>5</v>
      </c>
      <c r="P148">
        <v>1</v>
      </c>
      <c r="Q148" t="str">
        <f t="shared" si="11"/>
        <v>ERICA DAVIS</v>
      </c>
      <c r="R148" t="str">
        <f t="shared" si="12"/>
        <v>egypt</v>
      </c>
      <c r="S148" t="str">
        <f>PROPER(global_freelancer_raw[[#This Row],[NAME UPPER]])</f>
        <v>Erica Davis</v>
      </c>
      <c r="T148" t="str">
        <f t="shared" si="13"/>
        <v>Eg</v>
      </c>
      <c r="U148" t="str">
        <f t="shared" si="10"/>
        <v>a Davi</v>
      </c>
      <c r="V148" t="str">
        <f t="shared" si="14"/>
        <v>47</v>
      </c>
    </row>
    <row r="149" spans="1:22" x14ac:dyDescent="0.3">
      <c r="A149" s="1" t="s">
        <v>388</v>
      </c>
      <c r="B149" s="1" t="s">
        <v>389</v>
      </c>
      <c r="C149" s="1" t="s">
        <v>101</v>
      </c>
      <c r="D149">
        <v>36</v>
      </c>
      <c r="E149" s="1" t="s">
        <v>33</v>
      </c>
      <c r="F149" s="1" t="s">
        <v>33</v>
      </c>
      <c r="G149" s="1" t="s">
        <v>82</v>
      </c>
      <c r="H149">
        <v>7</v>
      </c>
      <c r="I149">
        <v>30</v>
      </c>
      <c r="J149">
        <v>0</v>
      </c>
      <c r="K149" t="s">
        <v>35</v>
      </c>
      <c r="L149">
        <v>0.88</v>
      </c>
      <c r="M149" s="1" t="s">
        <v>72</v>
      </c>
      <c r="N149" s="1" t="s">
        <v>65</v>
      </c>
      <c r="O149">
        <v>7</v>
      </c>
      <c r="P149">
        <v>2</v>
      </c>
      <c r="Q149" t="str">
        <f t="shared" si="11"/>
        <v>WAYNE GONZALES</v>
      </c>
      <c r="R149" t="str">
        <f t="shared" si="12"/>
        <v>germany</v>
      </c>
      <c r="S149" t="str">
        <f>PROPER(global_freelancer_raw[[#This Row],[NAME UPPER]])</f>
        <v>Wayne Gonzales</v>
      </c>
      <c r="T149" t="str">
        <f t="shared" si="13"/>
        <v>Ge</v>
      </c>
      <c r="U149" t="str">
        <f t="shared" si="10"/>
        <v>e Gonz</v>
      </c>
      <c r="V149" t="str">
        <f t="shared" si="14"/>
        <v>48</v>
      </c>
    </row>
    <row r="150" spans="1:22" x14ac:dyDescent="0.3">
      <c r="A150" s="1" t="s">
        <v>390</v>
      </c>
      <c r="B150" s="1" t="s">
        <v>391</v>
      </c>
      <c r="C150" s="1" t="s">
        <v>32</v>
      </c>
      <c r="D150">
        <v>25</v>
      </c>
      <c r="E150" s="1" t="s">
        <v>188</v>
      </c>
      <c r="F150" s="1" t="s">
        <v>81</v>
      </c>
      <c r="G150" s="1" t="s">
        <v>57</v>
      </c>
      <c r="H150">
        <v>0</v>
      </c>
      <c r="I150">
        <v>40</v>
      </c>
      <c r="J150">
        <v>0</v>
      </c>
      <c r="K150">
        <v>0</v>
      </c>
      <c r="L150">
        <v>0.9</v>
      </c>
      <c r="M150" s="1" t="s">
        <v>20</v>
      </c>
      <c r="N150" s="1" t="s">
        <v>65</v>
      </c>
      <c r="O150">
        <v>1</v>
      </c>
      <c r="P150">
        <v>2</v>
      </c>
      <c r="Q150" t="str">
        <f t="shared" si="11"/>
        <v>GARY BALLARD</v>
      </c>
      <c r="R150" t="str">
        <f t="shared" si="12"/>
        <v>mexico</v>
      </c>
      <c r="S150" t="str">
        <f>PROPER(global_freelancer_raw[[#This Row],[NAME UPPER]])</f>
        <v>Gary Ballard</v>
      </c>
      <c r="T150" t="str">
        <f t="shared" si="13"/>
        <v>Me</v>
      </c>
      <c r="U150" t="str">
        <f t="shared" si="10"/>
        <v xml:space="preserve"> Balla</v>
      </c>
      <c r="V150" t="str">
        <f t="shared" si="14"/>
        <v>49</v>
      </c>
    </row>
    <row r="151" spans="1:22" x14ac:dyDescent="0.3">
      <c r="A151" s="1" t="s">
        <v>392</v>
      </c>
      <c r="B151" s="1" t="s">
        <v>393</v>
      </c>
      <c r="C151" s="1" t="s">
        <v>24</v>
      </c>
      <c r="D151">
        <v>37</v>
      </c>
      <c r="E151" s="1" t="s">
        <v>133</v>
      </c>
      <c r="F151" s="1" t="s">
        <v>134</v>
      </c>
      <c r="G151" s="1" t="s">
        <v>57</v>
      </c>
      <c r="H151">
        <v>15</v>
      </c>
      <c r="I151" t="s">
        <v>41</v>
      </c>
      <c r="J151">
        <v>2.9</v>
      </c>
      <c r="K151" t="b">
        <v>0</v>
      </c>
      <c r="M151" s="1" t="s">
        <v>77</v>
      </c>
      <c r="N151" s="1" t="s">
        <v>65</v>
      </c>
      <c r="O151">
        <v>6</v>
      </c>
      <c r="P151">
        <v>8</v>
      </c>
      <c r="Q151" t="str">
        <f t="shared" si="11"/>
        <v>MARIA MCGUIRE</v>
      </c>
      <c r="R151" t="str">
        <f t="shared" si="12"/>
        <v>russia</v>
      </c>
      <c r="S151" t="str">
        <f>PROPER(global_freelancer_raw[[#This Row],[NAME UPPER]])</f>
        <v>Maria Mcguire</v>
      </c>
      <c r="T151" t="str">
        <f t="shared" si="13"/>
        <v>Ru</v>
      </c>
      <c r="U151" t="str">
        <f t="shared" si="10"/>
        <v>a Mcgu</v>
      </c>
      <c r="V151" t="str">
        <f t="shared" si="14"/>
        <v>50</v>
      </c>
    </row>
    <row r="152" spans="1:22" x14ac:dyDescent="0.3">
      <c r="A152" s="1" t="s">
        <v>394</v>
      </c>
      <c r="B152" s="1" t="s">
        <v>395</v>
      </c>
      <c r="C152" s="1" t="s">
        <v>101</v>
      </c>
      <c r="E152" s="1" t="s">
        <v>69</v>
      </c>
      <c r="F152" s="1" t="s">
        <v>70</v>
      </c>
      <c r="G152" s="1" t="s">
        <v>57</v>
      </c>
      <c r="H152">
        <v>10</v>
      </c>
      <c r="I152" t="s">
        <v>61</v>
      </c>
      <c r="J152">
        <v>0</v>
      </c>
      <c r="M152" s="1" t="s">
        <v>77</v>
      </c>
      <c r="N152" s="1" t="s">
        <v>21</v>
      </c>
      <c r="O152">
        <v>6</v>
      </c>
      <c r="P152">
        <v>2</v>
      </c>
      <c r="Q152" t="str">
        <f t="shared" si="11"/>
        <v>MATTHEW RICHARDS</v>
      </c>
      <c r="R152" t="str">
        <f t="shared" si="12"/>
        <v>turkey</v>
      </c>
      <c r="S152" t="str">
        <f>PROPER(global_freelancer_raw[[#This Row],[NAME UPPER]])</f>
        <v>Matthew Richards</v>
      </c>
      <c r="T152" t="str">
        <f t="shared" si="13"/>
        <v>Tu</v>
      </c>
      <c r="U152" t="str">
        <f t="shared" si="10"/>
        <v>hew Ri</v>
      </c>
      <c r="V152" t="str">
        <f t="shared" si="14"/>
        <v>51</v>
      </c>
    </row>
    <row r="153" spans="1:22" x14ac:dyDescent="0.3">
      <c r="A153" s="1" t="s">
        <v>396</v>
      </c>
      <c r="B153" s="1" t="s">
        <v>397</v>
      </c>
      <c r="C153" s="1" t="s">
        <v>54</v>
      </c>
      <c r="D153">
        <v>29</v>
      </c>
      <c r="E153" s="1" t="s">
        <v>199</v>
      </c>
      <c r="F153" s="1" t="s">
        <v>81</v>
      </c>
      <c r="G153" s="1" t="s">
        <v>57</v>
      </c>
      <c r="H153">
        <v>11</v>
      </c>
      <c r="I153">
        <v>20</v>
      </c>
      <c r="J153">
        <v>2.7</v>
      </c>
      <c r="K153" t="s">
        <v>168</v>
      </c>
      <c r="L153">
        <v>0.93</v>
      </c>
      <c r="M153" s="1" t="s">
        <v>72</v>
      </c>
      <c r="N153" s="1" t="s">
        <v>36</v>
      </c>
      <c r="O153">
        <v>13</v>
      </c>
      <c r="P153">
        <v>7</v>
      </c>
      <c r="Q153" t="str">
        <f t="shared" si="11"/>
        <v>PATRICK MALONE</v>
      </c>
      <c r="R153" t="str">
        <f t="shared" si="12"/>
        <v>spain</v>
      </c>
      <c r="S153" t="str">
        <f>PROPER(global_freelancer_raw[[#This Row],[NAME UPPER]])</f>
        <v>Patrick Malone</v>
      </c>
      <c r="T153" t="str">
        <f t="shared" si="13"/>
        <v>Sp</v>
      </c>
      <c r="U153" t="str">
        <f t="shared" si="10"/>
        <v>ick Ma</v>
      </c>
      <c r="V153" t="str">
        <f t="shared" si="14"/>
        <v>52</v>
      </c>
    </row>
    <row r="154" spans="1:22" x14ac:dyDescent="0.3">
      <c r="A154" s="1" t="s">
        <v>398</v>
      </c>
      <c r="B154" s="1" t="s">
        <v>399</v>
      </c>
      <c r="C154" s="1" t="s">
        <v>44</v>
      </c>
      <c r="D154">
        <v>55</v>
      </c>
      <c r="E154" s="1" t="s">
        <v>80</v>
      </c>
      <c r="F154" s="1" t="s">
        <v>81</v>
      </c>
      <c r="G154" s="1" t="s">
        <v>27</v>
      </c>
      <c r="H154">
        <v>12</v>
      </c>
      <c r="I154">
        <v>100</v>
      </c>
      <c r="J154">
        <v>1.8</v>
      </c>
      <c r="K154">
        <v>1</v>
      </c>
      <c r="M154" s="1" t="s">
        <v>77</v>
      </c>
      <c r="N154" s="1" t="s">
        <v>36</v>
      </c>
      <c r="O154">
        <v>11</v>
      </c>
      <c r="P154">
        <v>3</v>
      </c>
      <c r="Q154" t="str">
        <f t="shared" si="11"/>
        <v>CINDY MARTIN</v>
      </c>
      <c r="R154" t="str">
        <f t="shared" si="12"/>
        <v>argentina</v>
      </c>
      <c r="S154" t="str">
        <f>PROPER(global_freelancer_raw[[#This Row],[NAME UPPER]])</f>
        <v>Cindy Martin</v>
      </c>
      <c r="T154" t="str">
        <f t="shared" si="13"/>
        <v>Ar</v>
      </c>
      <c r="U154" t="str">
        <f t="shared" si="10"/>
        <v>y Mart</v>
      </c>
      <c r="V154" t="str">
        <f t="shared" si="14"/>
        <v>53</v>
      </c>
    </row>
    <row r="155" spans="1:22" x14ac:dyDescent="0.3">
      <c r="A155" s="1" t="s">
        <v>400</v>
      </c>
      <c r="B155" s="1" t="s">
        <v>401</v>
      </c>
      <c r="C155" s="1" t="s">
        <v>86</v>
      </c>
      <c r="D155">
        <v>38</v>
      </c>
      <c r="E155" s="1" t="s">
        <v>94</v>
      </c>
      <c r="F155" s="1" t="s">
        <v>95</v>
      </c>
      <c r="G155" s="1" t="s">
        <v>98</v>
      </c>
      <c r="H155">
        <v>20</v>
      </c>
      <c r="I155" t="s">
        <v>179</v>
      </c>
      <c r="J155">
        <v>1.1000000000000001</v>
      </c>
      <c r="K155" t="s">
        <v>168</v>
      </c>
      <c r="L155">
        <v>0.71</v>
      </c>
      <c r="M155" s="1" t="s">
        <v>77</v>
      </c>
      <c r="N155" s="1" t="s">
        <v>65</v>
      </c>
      <c r="O155">
        <v>19</v>
      </c>
      <c r="P155">
        <v>7</v>
      </c>
      <c r="Q155" t="str">
        <f t="shared" si="11"/>
        <v>ANNE EDWARDS</v>
      </c>
      <c r="R155" t="str">
        <f t="shared" si="12"/>
        <v>japan</v>
      </c>
      <c r="S155" t="str">
        <f>PROPER(global_freelancer_raw[[#This Row],[NAME UPPER]])</f>
        <v>Anne Edwards</v>
      </c>
      <c r="T155" t="str">
        <f t="shared" si="13"/>
        <v>Ja</v>
      </c>
      <c r="U155" t="str">
        <f t="shared" si="10"/>
        <v xml:space="preserve"> Edwar</v>
      </c>
      <c r="V155" t="str">
        <f t="shared" si="14"/>
        <v>54</v>
      </c>
    </row>
    <row r="156" spans="1:22" x14ac:dyDescent="0.3">
      <c r="A156" s="1" t="s">
        <v>402</v>
      </c>
      <c r="B156" s="1" t="s">
        <v>403</v>
      </c>
      <c r="C156" s="1" t="s">
        <v>106</v>
      </c>
      <c r="D156">
        <v>47</v>
      </c>
      <c r="E156" s="1" t="s">
        <v>121</v>
      </c>
      <c r="F156" s="1" t="s">
        <v>122</v>
      </c>
      <c r="G156" s="1" t="s">
        <v>98</v>
      </c>
      <c r="H156">
        <v>29</v>
      </c>
      <c r="I156" t="s">
        <v>41</v>
      </c>
      <c r="J156">
        <v>4.3</v>
      </c>
      <c r="K156">
        <v>1</v>
      </c>
      <c r="L156">
        <v>0.95</v>
      </c>
      <c r="M156" s="1" t="s">
        <v>20</v>
      </c>
      <c r="N156" s="1" t="s">
        <v>36</v>
      </c>
      <c r="O156">
        <v>11</v>
      </c>
      <c r="P156">
        <v>8</v>
      </c>
      <c r="Q156" t="str">
        <f t="shared" si="11"/>
        <v>MITCHELL MARTIN</v>
      </c>
      <c r="R156" t="str">
        <f t="shared" si="12"/>
        <v>south korea</v>
      </c>
      <c r="S156" t="str">
        <f>PROPER(global_freelancer_raw[[#This Row],[NAME UPPER]])</f>
        <v>Mitchell Martin</v>
      </c>
      <c r="T156" t="str">
        <f t="shared" si="13"/>
        <v>So</v>
      </c>
      <c r="U156" t="str">
        <f t="shared" si="10"/>
        <v>hell M</v>
      </c>
      <c r="V156" t="str">
        <f t="shared" si="14"/>
        <v>55</v>
      </c>
    </row>
    <row r="157" spans="1:22" x14ac:dyDescent="0.3">
      <c r="A157" s="1" t="s">
        <v>404</v>
      </c>
      <c r="B157" s="1" t="s">
        <v>405</v>
      </c>
      <c r="C157" s="1" t="s">
        <v>101</v>
      </c>
      <c r="D157">
        <v>60</v>
      </c>
      <c r="E157" s="1" t="s">
        <v>116</v>
      </c>
      <c r="F157" s="1" t="s">
        <v>117</v>
      </c>
      <c r="G157" s="1" t="s">
        <v>40</v>
      </c>
      <c r="H157">
        <v>15</v>
      </c>
      <c r="I157">
        <v>100</v>
      </c>
      <c r="J157">
        <v>1.5</v>
      </c>
      <c r="K157">
        <v>0</v>
      </c>
      <c r="L157">
        <v>80</v>
      </c>
      <c r="M157" s="1" t="s">
        <v>51</v>
      </c>
      <c r="N157" s="1" t="s">
        <v>36</v>
      </c>
      <c r="O157">
        <v>8</v>
      </c>
      <c r="P157">
        <v>14</v>
      </c>
      <c r="Q157" t="str">
        <f t="shared" si="11"/>
        <v>MITCHELL PATRICK</v>
      </c>
      <c r="R157" t="str">
        <f t="shared" si="12"/>
        <v>brazil</v>
      </c>
      <c r="S157" t="str">
        <f>PROPER(global_freelancer_raw[[#This Row],[NAME UPPER]])</f>
        <v>Mitchell Patrick</v>
      </c>
      <c r="T157" t="str">
        <f t="shared" si="13"/>
        <v>Br</v>
      </c>
      <c r="U157" t="str">
        <f t="shared" si="10"/>
        <v>hell P</v>
      </c>
      <c r="V157" t="str">
        <f t="shared" si="14"/>
        <v>56</v>
      </c>
    </row>
    <row r="158" spans="1:22" x14ac:dyDescent="0.3">
      <c r="A158" s="1" t="s">
        <v>406</v>
      </c>
      <c r="B158" s="1" t="s">
        <v>407</v>
      </c>
      <c r="C158" s="1" t="s">
        <v>24</v>
      </c>
      <c r="D158">
        <v>43</v>
      </c>
      <c r="E158" s="1" t="s">
        <v>17</v>
      </c>
      <c r="F158" s="1" t="s">
        <v>18</v>
      </c>
      <c r="G158" s="1" t="s">
        <v>57</v>
      </c>
      <c r="H158">
        <v>9</v>
      </c>
      <c r="I158" t="s">
        <v>130</v>
      </c>
      <c r="J158">
        <v>2.2000000000000002</v>
      </c>
      <c r="K158" t="s">
        <v>35</v>
      </c>
      <c r="M158" s="1" t="s">
        <v>72</v>
      </c>
      <c r="N158" s="1" t="s">
        <v>65</v>
      </c>
      <c r="O158">
        <v>12</v>
      </c>
      <c r="P158">
        <v>5</v>
      </c>
      <c r="Q158" t="str">
        <f t="shared" si="11"/>
        <v>REBECCA LYONS</v>
      </c>
      <c r="R158" t="str">
        <f t="shared" si="12"/>
        <v>italy</v>
      </c>
      <c r="S158" t="str">
        <f>PROPER(global_freelancer_raw[[#This Row],[NAME UPPER]])</f>
        <v>Rebecca Lyons</v>
      </c>
      <c r="T158" t="str">
        <f t="shared" si="13"/>
        <v>It</v>
      </c>
      <c r="U158" t="str">
        <f t="shared" si="10"/>
        <v>cca Ly</v>
      </c>
      <c r="V158" t="str">
        <f t="shared" si="14"/>
        <v>57</v>
      </c>
    </row>
    <row r="159" spans="1:22" x14ac:dyDescent="0.3">
      <c r="A159" s="1" t="s">
        <v>408</v>
      </c>
      <c r="B159" s="1" t="s">
        <v>409</v>
      </c>
      <c r="C159" s="1" t="s">
        <v>106</v>
      </c>
      <c r="D159">
        <v>56</v>
      </c>
      <c r="E159" s="1" t="s">
        <v>162</v>
      </c>
      <c r="F159" s="1" t="s">
        <v>163</v>
      </c>
      <c r="G159" s="1" t="s">
        <v>57</v>
      </c>
      <c r="I159">
        <v>100</v>
      </c>
      <c r="J159">
        <v>3.2</v>
      </c>
      <c r="K159">
        <v>0</v>
      </c>
      <c r="L159">
        <v>0.62</v>
      </c>
      <c r="M159" s="1" t="s">
        <v>72</v>
      </c>
      <c r="N159" s="1" t="s">
        <v>65</v>
      </c>
      <c r="O159">
        <v>4</v>
      </c>
      <c r="P159">
        <v>1</v>
      </c>
      <c r="Q159" t="str">
        <f t="shared" si="11"/>
        <v>CHRISTIAN LOPEZ</v>
      </c>
      <c r="R159" t="str">
        <f t="shared" si="12"/>
        <v>south africa</v>
      </c>
      <c r="S159" t="str">
        <f>PROPER(global_freelancer_raw[[#This Row],[NAME UPPER]])</f>
        <v>Christian Lopez</v>
      </c>
      <c r="T159" t="str">
        <f t="shared" si="13"/>
        <v>So</v>
      </c>
      <c r="U159" t="str">
        <f t="shared" si="10"/>
        <v xml:space="preserve">stian </v>
      </c>
      <c r="V159" t="str">
        <f t="shared" si="14"/>
        <v>58</v>
      </c>
    </row>
    <row r="160" spans="1:22" x14ac:dyDescent="0.3">
      <c r="A160" s="1" t="s">
        <v>410</v>
      </c>
      <c r="B160" s="1" t="s">
        <v>411</v>
      </c>
      <c r="C160" s="1" t="s">
        <v>32</v>
      </c>
      <c r="D160">
        <v>42</v>
      </c>
      <c r="E160" s="1" t="s">
        <v>133</v>
      </c>
      <c r="F160" s="1" t="s">
        <v>134</v>
      </c>
      <c r="G160" s="1" t="s">
        <v>98</v>
      </c>
      <c r="H160">
        <v>2</v>
      </c>
      <c r="I160" t="s">
        <v>71</v>
      </c>
      <c r="J160">
        <v>1.9</v>
      </c>
      <c r="K160" t="b">
        <v>0</v>
      </c>
      <c r="L160">
        <v>0.95</v>
      </c>
      <c r="M160" s="1" t="s">
        <v>20</v>
      </c>
      <c r="N160" s="1" t="s">
        <v>29</v>
      </c>
      <c r="O160">
        <v>2</v>
      </c>
      <c r="P160">
        <v>3</v>
      </c>
      <c r="Q160" t="str">
        <f t="shared" si="11"/>
        <v>NATHAN BLAIR</v>
      </c>
      <c r="R160" t="str">
        <f t="shared" si="12"/>
        <v>russia</v>
      </c>
      <c r="S160" t="str">
        <f>PROPER(global_freelancer_raw[[#This Row],[NAME UPPER]])</f>
        <v>Nathan Blair</v>
      </c>
      <c r="T160" t="str">
        <f t="shared" si="13"/>
        <v>Ru</v>
      </c>
      <c r="U160" t="str">
        <f t="shared" si="10"/>
        <v>an Bla</v>
      </c>
      <c r="V160" t="str">
        <f t="shared" si="14"/>
        <v>59</v>
      </c>
    </row>
    <row r="161" spans="1:22" x14ac:dyDescent="0.3">
      <c r="A161" s="1" t="s">
        <v>412</v>
      </c>
      <c r="B161" s="1" t="s">
        <v>413</v>
      </c>
      <c r="C161" s="1" t="s">
        <v>86</v>
      </c>
      <c r="D161">
        <v>20</v>
      </c>
      <c r="E161" s="1" t="s">
        <v>199</v>
      </c>
      <c r="F161" s="1" t="s">
        <v>81</v>
      </c>
      <c r="G161" s="1" t="s">
        <v>34</v>
      </c>
      <c r="H161">
        <v>0</v>
      </c>
      <c r="I161">
        <v>40</v>
      </c>
      <c r="J161">
        <v>2.5</v>
      </c>
      <c r="K161">
        <v>0</v>
      </c>
      <c r="L161">
        <v>0.79</v>
      </c>
      <c r="M161" s="1" t="s">
        <v>20</v>
      </c>
      <c r="N161" s="1" t="s">
        <v>36</v>
      </c>
      <c r="O161">
        <v>4</v>
      </c>
      <c r="P161">
        <v>2</v>
      </c>
      <c r="Q161" t="str">
        <f t="shared" si="11"/>
        <v>PATRICIA LOPEZ</v>
      </c>
      <c r="R161" t="str">
        <f t="shared" si="12"/>
        <v>spain</v>
      </c>
      <c r="S161" t="str">
        <f>PROPER(global_freelancer_raw[[#This Row],[NAME UPPER]])</f>
        <v>Patricia Lopez</v>
      </c>
      <c r="T161" t="str">
        <f t="shared" si="13"/>
        <v>Sp</v>
      </c>
      <c r="U161" t="str">
        <f t="shared" si="10"/>
        <v>icia L</v>
      </c>
      <c r="V161" t="str">
        <f t="shared" si="14"/>
        <v>60</v>
      </c>
    </row>
    <row r="162" spans="1:22" x14ac:dyDescent="0.3">
      <c r="A162" s="1" t="s">
        <v>414</v>
      </c>
      <c r="B162" s="1" t="s">
        <v>415</v>
      </c>
      <c r="C162" s="1" t="s">
        <v>44</v>
      </c>
      <c r="D162">
        <v>47</v>
      </c>
      <c r="E162" s="1" t="s">
        <v>55</v>
      </c>
      <c r="F162" s="1" t="s">
        <v>56</v>
      </c>
      <c r="G162" s="1" t="s">
        <v>82</v>
      </c>
      <c r="H162">
        <v>12</v>
      </c>
      <c r="I162">
        <v>40</v>
      </c>
      <c r="J162">
        <v>4.5</v>
      </c>
      <c r="K162" t="s">
        <v>168</v>
      </c>
      <c r="L162">
        <v>0.62</v>
      </c>
      <c r="M162" s="1" t="s">
        <v>77</v>
      </c>
      <c r="N162" s="1" t="s">
        <v>21</v>
      </c>
      <c r="O162">
        <v>15</v>
      </c>
      <c r="P162">
        <v>10</v>
      </c>
      <c r="Q162" t="str">
        <f t="shared" si="11"/>
        <v>MICHELLE WU</v>
      </c>
      <c r="R162" t="str">
        <f t="shared" si="12"/>
        <v>indonesia</v>
      </c>
      <c r="S162" t="str">
        <f>PROPER(global_freelancer_raw[[#This Row],[NAME UPPER]])</f>
        <v>Michelle Wu</v>
      </c>
      <c r="T162" t="str">
        <f t="shared" si="13"/>
        <v>In</v>
      </c>
      <c r="U162" t="str">
        <f t="shared" si="10"/>
        <v>elle W</v>
      </c>
      <c r="V162" t="str">
        <f t="shared" si="14"/>
        <v>61</v>
      </c>
    </row>
    <row r="163" spans="1:22" x14ac:dyDescent="0.3">
      <c r="A163" s="1" t="s">
        <v>416</v>
      </c>
      <c r="B163" s="1" t="s">
        <v>417</v>
      </c>
      <c r="C163" s="1" t="s">
        <v>54</v>
      </c>
      <c r="E163" s="1" t="s">
        <v>80</v>
      </c>
      <c r="F163" s="1" t="s">
        <v>81</v>
      </c>
      <c r="G163" s="1" t="s">
        <v>57</v>
      </c>
      <c r="H163">
        <v>12</v>
      </c>
      <c r="I163" t="s">
        <v>50</v>
      </c>
      <c r="J163">
        <v>4.0999999999999996</v>
      </c>
      <c r="K163" t="s">
        <v>168</v>
      </c>
      <c r="L163">
        <v>0.68</v>
      </c>
      <c r="M163" s="1" t="s">
        <v>72</v>
      </c>
      <c r="N163" s="1" t="s">
        <v>65</v>
      </c>
      <c r="O163">
        <v>15</v>
      </c>
      <c r="P163">
        <v>11</v>
      </c>
      <c r="Q163" t="str">
        <f t="shared" si="11"/>
        <v>DONALD MITCHELL</v>
      </c>
      <c r="R163" t="str">
        <f t="shared" si="12"/>
        <v>argentina</v>
      </c>
      <c r="S163" t="str">
        <f>PROPER(global_freelancer_raw[[#This Row],[NAME UPPER]])</f>
        <v>Donald Mitchell</v>
      </c>
      <c r="T163" t="str">
        <f t="shared" si="13"/>
        <v>Ar</v>
      </c>
      <c r="U163" t="str">
        <f t="shared" si="10"/>
        <v>ld Mit</v>
      </c>
      <c r="V163" t="str">
        <f t="shared" si="14"/>
        <v>62</v>
      </c>
    </row>
    <row r="164" spans="1:22" x14ac:dyDescent="0.3">
      <c r="A164" s="1" t="s">
        <v>418</v>
      </c>
      <c r="B164" s="1" t="s">
        <v>419</v>
      </c>
      <c r="C164" s="1" t="s">
        <v>101</v>
      </c>
      <c r="D164">
        <v>56</v>
      </c>
      <c r="E164" s="1" t="s">
        <v>55</v>
      </c>
      <c r="F164" s="1" t="s">
        <v>56</v>
      </c>
      <c r="G164" s="1" t="s">
        <v>98</v>
      </c>
      <c r="H164">
        <v>15</v>
      </c>
      <c r="I164" t="s">
        <v>58</v>
      </c>
      <c r="J164">
        <v>0</v>
      </c>
      <c r="K164" t="s">
        <v>168</v>
      </c>
      <c r="M164" s="1" t="s">
        <v>51</v>
      </c>
      <c r="N164" s="1" t="s">
        <v>29</v>
      </c>
      <c r="O164">
        <v>9</v>
      </c>
      <c r="P164">
        <v>9</v>
      </c>
      <c r="Q164" t="str">
        <f t="shared" si="11"/>
        <v>SEAN GORDON</v>
      </c>
      <c r="R164" t="str">
        <f t="shared" si="12"/>
        <v>indonesia</v>
      </c>
      <c r="S164" t="str">
        <f>PROPER(global_freelancer_raw[[#This Row],[NAME UPPER]])</f>
        <v>Sean Gordon</v>
      </c>
      <c r="T164" t="str">
        <f t="shared" si="13"/>
        <v>In</v>
      </c>
      <c r="U164" t="str">
        <f t="shared" si="10"/>
        <v xml:space="preserve"> Gordo</v>
      </c>
      <c r="V164" t="str">
        <f t="shared" si="14"/>
        <v>63</v>
      </c>
    </row>
    <row r="165" spans="1:22" x14ac:dyDescent="0.3">
      <c r="A165" s="1" t="s">
        <v>420</v>
      </c>
      <c r="B165" s="1" t="s">
        <v>421</v>
      </c>
      <c r="C165" s="1" t="s">
        <v>106</v>
      </c>
      <c r="D165">
        <v>59</v>
      </c>
      <c r="E165" s="1" t="s">
        <v>75</v>
      </c>
      <c r="F165" s="1" t="s">
        <v>26</v>
      </c>
      <c r="G165" s="1" t="s">
        <v>98</v>
      </c>
      <c r="H165">
        <v>29</v>
      </c>
      <c r="I165" t="s">
        <v>58</v>
      </c>
      <c r="K165">
        <v>0</v>
      </c>
      <c r="L165">
        <v>0.8</v>
      </c>
      <c r="M165" s="1" t="s">
        <v>20</v>
      </c>
      <c r="N165" s="1" t="s">
        <v>21</v>
      </c>
      <c r="O165">
        <v>19</v>
      </c>
      <c r="P165">
        <v>7</v>
      </c>
      <c r="Q165" t="str">
        <f t="shared" si="11"/>
        <v>GREGORY CLARKE</v>
      </c>
      <c r="R165" t="str">
        <f t="shared" si="12"/>
        <v>uk</v>
      </c>
      <c r="S165" t="str">
        <f>PROPER(global_freelancer_raw[[#This Row],[NAME UPPER]])</f>
        <v>Gregory Clarke</v>
      </c>
      <c r="T165" t="str">
        <f t="shared" si="13"/>
        <v>UK</v>
      </c>
      <c r="U165" t="str">
        <f t="shared" si="10"/>
        <v>ory Cl</v>
      </c>
      <c r="V165" t="str">
        <f t="shared" si="14"/>
        <v>64</v>
      </c>
    </row>
    <row r="166" spans="1:22" x14ac:dyDescent="0.3">
      <c r="A166" s="1" t="s">
        <v>422</v>
      </c>
      <c r="B166" s="1" t="s">
        <v>423</v>
      </c>
      <c r="C166" s="1" t="s">
        <v>68</v>
      </c>
      <c r="D166">
        <v>56</v>
      </c>
      <c r="E166" s="1" t="s">
        <v>94</v>
      </c>
      <c r="F166" s="1" t="s">
        <v>95</v>
      </c>
      <c r="G166" s="1" t="s">
        <v>87</v>
      </c>
      <c r="H166">
        <v>15</v>
      </c>
      <c r="I166">
        <v>40</v>
      </c>
      <c r="J166">
        <v>3.7</v>
      </c>
      <c r="L166">
        <v>0.92</v>
      </c>
      <c r="M166" s="1" t="s">
        <v>51</v>
      </c>
      <c r="N166" s="1" t="s">
        <v>36</v>
      </c>
      <c r="O166">
        <v>14</v>
      </c>
      <c r="P166">
        <v>9</v>
      </c>
      <c r="Q166" t="str">
        <f t="shared" si="11"/>
        <v>STEVEN WHITNEY</v>
      </c>
      <c r="R166" t="str">
        <f t="shared" si="12"/>
        <v>japan</v>
      </c>
      <c r="S166" t="str">
        <f>PROPER(global_freelancer_raw[[#This Row],[NAME UPPER]])</f>
        <v>Steven Whitney</v>
      </c>
      <c r="T166" t="str">
        <f t="shared" si="13"/>
        <v>Ja</v>
      </c>
      <c r="U166" t="str">
        <f t="shared" si="10"/>
        <v>en Whi</v>
      </c>
      <c r="V166" t="str">
        <f t="shared" si="14"/>
        <v>65</v>
      </c>
    </row>
    <row r="167" spans="1:22" x14ac:dyDescent="0.3">
      <c r="A167" s="1" t="s">
        <v>424</v>
      </c>
      <c r="B167" s="1" t="s">
        <v>425</v>
      </c>
      <c r="C167" s="1" t="s">
        <v>44</v>
      </c>
      <c r="D167">
        <v>31</v>
      </c>
      <c r="E167" s="1" t="s">
        <v>162</v>
      </c>
      <c r="F167" s="1" t="s">
        <v>163</v>
      </c>
      <c r="G167" s="1" t="s">
        <v>40</v>
      </c>
      <c r="I167" t="s">
        <v>58</v>
      </c>
      <c r="J167">
        <v>1.3</v>
      </c>
      <c r="K167">
        <v>1</v>
      </c>
      <c r="L167">
        <v>0.65</v>
      </c>
      <c r="M167" s="1" t="s">
        <v>51</v>
      </c>
      <c r="N167" s="1" t="s">
        <v>29</v>
      </c>
      <c r="O167">
        <v>1</v>
      </c>
      <c r="P167">
        <v>1</v>
      </c>
      <c r="Q167" t="str">
        <f t="shared" si="11"/>
        <v>ROBIN ACOSTA</v>
      </c>
      <c r="R167" t="str">
        <f t="shared" si="12"/>
        <v>south africa</v>
      </c>
      <c r="S167" t="str">
        <f>PROPER(global_freelancer_raw[[#This Row],[NAME UPPER]])</f>
        <v>Robin Acosta</v>
      </c>
      <c r="T167" t="str">
        <f t="shared" si="13"/>
        <v>So</v>
      </c>
      <c r="U167" t="str">
        <f t="shared" si="10"/>
        <v>n Acos</v>
      </c>
      <c r="V167" t="str">
        <f t="shared" si="14"/>
        <v>66</v>
      </c>
    </row>
    <row r="168" spans="1:22" x14ac:dyDescent="0.3">
      <c r="A168" s="1" t="s">
        <v>426</v>
      </c>
      <c r="B168" s="1" t="s">
        <v>427</v>
      </c>
      <c r="C168" s="1" t="s">
        <v>54</v>
      </c>
      <c r="D168">
        <v>60</v>
      </c>
      <c r="E168" s="1" t="s">
        <v>121</v>
      </c>
      <c r="F168" s="1" t="s">
        <v>122</v>
      </c>
      <c r="G168" s="1" t="s">
        <v>27</v>
      </c>
      <c r="H168">
        <v>33</v>
      </c>
      <c r="I168">
        <v>40</v>
      </c>
      <c r="J168">
        <v>3.6</v>
      </c>
      <c r="K168">
        <v>1</v>
      </c>
      <c r="L168">
        <v>0.87</v>
      </c>
      <c r="M168" s="1" t="s">
        <v>72</v>
      </c>
      <c r="N168" s="1" t="s">
        <v>65</v>
      </c>
      <c r="O168">
        <v>13</v>
      </c>
      <c r="P168">
        <v>10</v>
      </c>
      <c r="Q168" t="str">
        <f t="shared" si="11"/>
        <v>JOHN SMITH</v>
      </c>
      <c r="R168" t="str">
        <f t="shared" si="12"/>
        <v>south korea</v>
      </c>
      <c r="S168" t="str">
        <f>PROPER(global_freelancer_raw[[#This Row],[NAME UPPER]])</f>
        <v>John Smith</v>
      </c>
      <c r="T168" t="str">
        <f t="shared" si="13"/>
        <v>So</v>
      </c>
      <c r="U168" t="str">
        <f t="shared" si="10"/>
        <v xml:space="preserve"> Smith</v>
      </c>
      <c r="V168" t="str">
        <f t="shared" si="14"/>
        <v>67</v>
      </c>
    </row>
    <row r="169" spans="1:22" x14ac:dyDescent="0.3">
      <c r="A169" s="1" t="s">
        <v>428</v>
      </c>
      <c r="B169" s="1" t="s">
        <v>429</v>
      </c>
      <c r="C169" s="1" t="s">
        <v>24</v>
      </c>
      <c r="D169">
        <v>31</v>
      </c>
      <c r="E169" s="1" t="s">
        <v>137</v>
      </c>
      <c r="F169" s="1" t="s">
        <v>26</v>
      </c>
      <c r="G169" s="1" t="s">
        <v>40</v>
      </c>
      <c r="H169">
        <v>10</v>
      </c>
      <c r="I169">
        <v>75</v>
      </c>
      <c r="J169">
        <v>0</v>
      </c>
      <c r="K169" t="s">
        <v>168</v>
      </c>
      <c r="L169">
        <v>0.7</v>
      </c>
      <c r="M169" s="1" t="s">
        <v>72</v>
      </c>
      <c r="N169" s="1" t="s">
        <v>21</v>
      </c>
      <c r="O169">
        <v>11</v>
      </c>
      <c r="P169">
        <v>9</v>
      </c>
      <c r="Q169" t="str">
        <f t="shared" si="11"/>
        <v>SUSAN BAKER</v>
      </c>
      <c r="R169" t="str">
        <f t="shared" si="12"/>
        <v>canada</v>
      </c>
      <c r="S169" t="str">
        <f>PROPER(global_freelancer_raw[[#This Row],[NAME UPPER]])</f>
        <v>Susan Baker</v>
      </c>
      <c r="T169" t="str">
        <f t="shared" si="13"/>
        <v>Ca</v>
      </c>
      <c r="U169" t="str">
        <f t="shared" si="10"/>
        <v>n Bake</v>
      </c>
      <c r="V169" t="str">
        <f t="shared" si="14"/>
        <v>68</v>
      </c>
    </row>
    <row r="170" spans="1:22" x14ac:dyDescent="0.3">
      <c r="A170" s="1" t="s">
        <v>430</v>
      </c>
      <c r="B170" s="1" t="s">
        <v>431</v>
      </c>
      <c r="C170" s="1" t="s">
        <v>68</v>
      </c>
      <c r="D170">
        <v>60</v>
      </c>
      <c r="E170" s="1" t="s">
        <v>80</v>
      </c>
      <c r="F170" s="1" t="s">
        <v>81</v>
      </c>
      <c r="G170" s="1" t="s">
        <v>87</v>
      </c>
      <c r="H170">
        <v>20</v>
      </c>
      <c r="I170">
        <v>40</v>
      </c>
      <c r="J170">
        <v>1.4</v>
      </c>
      <c r="K170" t="s">
        <v>168</v>
      </c>
      <c r="L170">
        <v>87</v>
      </c>
      <c r="M170" s="1" t="s">
        <v>20</v>
      </c>
      <c r="N170" s="1" t="s">
        <v>65</v>
      </c>
      <c r="O170">
        <v>18</v>
      </c>
      <c r="P170">
        <v>17</v>
      </c>
      <c r="Q170" t="str">
        <f t="shared" si="11"/>
        <v>ANTHONY LARSEN</v>
      </c>
      <c r="R170" t="str">
        <f t="shared" si="12"/>
        <v>argentina</v>
      </c>
      <c r="S170" t="str">
        <f>PROPER(global_freelancer_raw[[#This Row],[NAME UPPER]])</f>
        <v>Anthony Larsen</v>
      </c>
      <c r="T170" t="str">
        <f t="shared" si="13"/>
        <v>Ar</v>
      </c>
      <c r="U170" t="str">
        <f t="shared" si="10"/>
        <v>ony La</v>
      </c>
      <c r="V170" t="str">
        <f t="shared" si="14"/>
        <v>69</v>
      </c>
    </row>
    <row r="171" spans="1:22" x14ac:dyDescent="0.3">
      <c r="A171" s="1" t="s">
        <v>432</v>
      </c>
      <c r="B171" s="1" t="s">
        <v>433</v>
      </c>
      <c r="C171" s="1" t="s">
        <v>68</v>
      </c>
      <c r="D171">
        <v>46</v>
      </c>
      <c r="E171" s="1" t="s">
        <v>144</v>
      </c>
      <c r="F171" s="1" t="s">
        <v>145</v>
      </c>
      <c r="G171" s="1" t="s">
        <v>98</v>
      </c>
      <c r="H171">
        <v>23</v>
      </c>
      <c r="I171">
        <v>20</v>
      </c>
      <c r="J171">
        <v>2.9</v>
      </c>
      <c r="K171" t="s">
        <v>35</v>
      </c>
      <c r="L171">
        <v>0.72</v>
      </c>
      <c r="M171" s="1" t="s">
        <v>72</v>
      </c>
      <c r="N171" s="1" t="s">
        <v>36</v>
      </c>
      <c r="O171">
        <v>19</v>
      </c>
      <c r="P171">
        <v>5</v>
      </c>
      <c r="Q171" t="str">
        <f t="shared" si="11"/>
        <v>NICHOLAS CARPENTER</v>
      </c>
      <c r="R171" t="str">
        <f t="shared" si="12"/>
        <v>france</v>
      </c>
      <c r="S171" t="str">
        <f>PROPER(global_freelancer_raw[[#This Row],[NAME UPPER]])</f>
        <v>Nicholas Carpenter</v>
      </c>
      <c r="T171" t="str">
        <f t="shared" si="13"/>
        <v>Fr</v>
      </c>
      <c r="U171" t="str">
        <f t="shared" si="10"/>
        <v>olas C</v>
      </c>
      <c r="V171" t="str">
        <f t="shared" si="14"/>
        <v>70</v>
      </c>
    </row>
    <row r="172" spans="1:22" x14ac:dyDescent="0.3">
      <c r="A172" s="1" t="s">
        <v>434</v>
      </c>
      <c r="B172" s="1" t="s">
        <v>435</v>
      </c>
      <c r="C172" s="1" t="s">
        <v>39</v>
      </c>
      <c r="E172" s="1" t="s">
        <v>47</v>
      </c>
      <c r="F172" s="1" t="s">
        <v>48</v>
      </c>
      <c r="G172" s="1" t="s">
        <v>19</v>
      </c>
      <c r="I172">
        <v>40</v>
      </c>
      <c r="J172">
        <v>2.8</v>
      </c>
      <c r="K172" t="s">
        <v>35</v>
      </c>
      <c r="L172">
        <v>0.8</v>
      </c>
      <c r="M172" s="1" t="s">
        <v>72</v>
      </c>
      <c r="N172" s="1" t="s">
        <v>21</v>
      </c>
      <c r="O172">
        <v>4</v>
      </c>
      <c r="P172">
        <v>1</v>
      </c>
      <c r="Q172" t="str">
        <f t="shared" si="11"/>
        <v>DEBRA SALAZAR</v>
      </c>
      <c r="R172" t="str">
        <f t="shared" si="12"/>
        <v>netherlands</v>
      </c>
      <c r="S172" t="str">
        <f>PROPER(global_freelancer_raw[[#This Row],[NAME UPPER]])</f>
        <v>Debra Salazar</v>
      </c>
      <c r="T172" t="str">
        <f t="shared" si="13"/>
        <v>Ne</v>
      </c>
      <c r="U172" t="str">
        <f t="shared" si="10"/>
        <v>a Sala</v>
      </c>
      <c r="V172" t="str">
        <f t="shared" si="14"/>
        <v>71</v>
      </c>
    </row>
    <row r="173" spans="1:22" x14ac:dyDescent="0.3">
      <c r="A173" s="1" t="s">
        <v>436</v>
      </c>
      <c r="B173" s="1" t="s">
        <v>437</v>
      </c>
      <c r="C173" s="1" t="s">
        <v>106</v>
      </c>
      <c r="D173">
        <v>34</v>
      </c>
      <c r="E173" s="1" t="s">
        <v>94</v>
      </c>
      <c r="F173" s="1" t="s">
        <v>95</v>
      </c>
      <c r="G173" s="1" t="s">
        <v>82</v>
      </c>
      <c r="H173">
        <v>0</v>
      </c>
      <c r="I173">
        <v>20</v>
      </c>
      <c r="J173">
        <v>1.7</v>
      </c>
      <c r="K173">
        <v>0</v>
      </c>
      <c r="L173">
        <v>0.66</v>
      </c>
      <c r="M173" s="1" t="s">
        <v>72</v>
      </c>
      <c r="N173" s="1" t="s">
        <v>36</v>
      </c>
      <c r="O173">
        <v>1</v>
      </c>
      <c r="P173">
        <v>3</v>
      </c>
      <c r="Q173" t="str">
        <f t="shared" si="11"/>
        <v>WILLIAM SMITH</v>
      </c>
      <c r="R173" t="str">
        <f t="shared" si="12"/>
        <v>japan</v>
      </c>
      <c r="S173" t="str">
        <f>PROPER(global_freelancer_raw[[#This Row],[NAME UPPER]])</f>
        <v>William Smith</v>
      </c>
      <c r="T173" t="str">
        <f t="shared" si="13"/>
        <v>Ja</v>
      </c>
      <c r="U173" t="str">
        <f t="shared" si="10"/>
        <v>iam Sm</v>
      </c>
      <c r="V173" t="str">
        <f t="shared" si="14"/>
        <v>72</v>
      </c>
    </row>
    <row r="174" spans="1:22" x14ac:dyDescent="0.3">
      <c r="A174" s="1" t="s">
        <v>438</v>
      </c>
      <c r="B174" s="1" t="s">
        <v>439</v>
      </c>
      <c r="C174" s="1" t="s">
        <v>16</v>
      </c>
      <c r="D174">
        <v>42</v>
      </c>
      <c r="E174" s="1" t="s">
        <v>47</v>
      </c>
      <c r="F174" s="1" t="s">
        <v>48</v>
      </c>
      <c r="G174" s="1" t="s">
        <v>34</v>
      </c>
      <c r="H174">
        <v>7</v>
      </c>
      <c r="I174" t="s">
        <v>61</v>
      </c>
      <c r="J174">
        <v>0</v>
      </c>
      <c r="K174">
        <v>1</v>
      </c>
      <c r="M174" s="1" t="s">
        <v>51</v>
      </c>
      <c r="N174" s="1" t="s">
        <v>36</v>
      </c>
      <c r="O174">
        <v>14</v>
      </c>
      <c r="P174">
        <v>5</v>
      </c>
      <c r="Q174" t="str">
        <f t="shared" si="11"/>
        <v>CAROLINE GROSS</v>
      </c>
      <c r="R174" t="str">
        <f t="shared" si="12"/>
        <v>netherlands</v>
      </c>
      <c r="S174" t="str">
        <f>PROPER(global_freelancer_raw[[#This Row],[NAME UPPER]])</f>
        <v>Caroline Gross</v>
      </c>
      <c r="T174" t="str">
        <f t="shared" si="13"/>
        <v>Ne</v>
      </c>
      <c r="U174" t="str">
        <f t="shared" si="10"/>
        <v>line G</v>
      </c>
      <c r="V174" t="str">
        <f t="shared" si="14"/>
        <v>73</v>
      </c>
    </row>
    <row r="175" spans="1:22" x14ac:dyDescent="0.3">
      <c r="A175" s="1" t="s">
        <v>440</v>
      </c>
      <c r="B175" s="1" t="s">
        <v>441</v>
      </c>
      <c r="C175" s="1" t="s">
        <v>101</v>
      </c>
      <c r="D175">
        <v>31</v>
      </c>
      <c r="E175" s="1" t="s">
        <v>75</v>
      </c>
      <c r="F175" s="1" t="s">
        <v>26</v>
      </c>
      <c r="G175" s="1" t="s">
        <v>57</v>
      </c>
      <c r="H175">
        <v>4</v>
      </c>
      <c r="I175" t="s">
        <v>58</v>
      </c>
      <c r="J175">
        <v>1.1000000000000001</v>
      </c>
      <c r="K175" t="b">
        <v>1</v>
      </c>
      <c r="L175">
        <v>0.64</v>
      </c>
      <c r="M175" s="1" t="s">
        <v>20</v>
      </c>
      <c r="N175" s="1" t="s">
        <v>29</v>
      </c>
      <c r="O175">
        <v>4</v>
      </c>
      <c r="P175">
        <v>2</v>
      </c>
      <c r="Q175" t="str">
        <f t="shared" si="11"/>
        <v>JEREMY SAWYER</v>
      </c>
      <c r="R175" t="str">
        <f t="shared" si="12"/>
        <v>uk</v>
      </c>
      <c r="S175" t="str">
        <f>PROPER(global_freelancer_raw[[#This Row],[NAME UPPER]])</f>
        <v>Jeremy Sawyer</v>
      </c>
      <c r="T175" t="str">
        <f t="shared" si="13"/>
        <v>UK</v>
      </c>
      <c r="U175" t="str">
        <f t="shared" si="10"/>
        <v>my Saw</v>
      </c>
      <c r="V175" t="str">
        <f t="shared" si="14"/>
        <v>74</v>
      </c>
    </row>
    <row r="176" spans="1:22" x14ac:dyDescent="0.3">
      <c r="A176" s="1" t="s">
        <v>442</v>
      </c>
      <c r="B176" s="1" t="s">
        <v>443</v>
      </c>
      <c r="C176" s="1" t="s">
        <v>32</v>
      </c>
      <c r="D176">
        <v>29</v>
      </c>
      <c r="E176" s="1" t="s">
        <v>116</v>
      </c>
      <c r="F176" s="1" t="s">
        <v>117</v>
      </c>
      <c r="G176" s="1" t="s">
        <v>82</v>
      </c>
      <c r="H176">
        <v>9</v>
      </c>
      <c r="I176">
        <v>20</v>
      </c>
      <c r="L176">
        <v>0.68</v>
      </c>
      <c r="M176" s="1" t="s">
        <v>77</v>
      </c>
      <c r="N176" s="1" t="s">
        <v>65</v>
      </c>
      <c r="O176">
        <v>11</v>
      </c>
      <c r="P176">
        <v>5</v>
      </c>
      <c r="Q176" t="str">
        <f t="shared" si="11"/>
        <v>EDUARDO BURNS</v>
      </c>
      <c r="R176" t="str">
        <f t="shared" si="12"/>
        <v>brazil</v>
      </c>
      <c r="S176" t="str">
        <f>PROPER(global_freelancer_raw[[#This Row],[NAME UPPER]])</f>
        <v>Eduardo Burns</v>
      </c>
      <c r="T176" t="str">
        <f t="shared" si="13"/>
        <v>Br</v>
      </c>
      <c r="U176" t="str">
        <f t="shared" si="10"/>
        <v>rdo Bu</v>
      </c>
      <c r="V176" t="str">
        <f t="shared" si="14"/>
        <v>75</v>
      </c>
    </row>
    <row r="177" spans="1:22" x14ac:dyDescent="0.3">
      <c r="A177" s="1" t="s">
        <v>444</v>
      </c>
      <c r="B177" s="1" t="s">
        <v>445</v>
      </c>
      <c r="C177" s="1" t="s">
        <v>44</v>
      </c>
      <c r="D177">
        <v>57</v>
      </c>
      <c r="E177" s="1" t="s">
        <v>25</v>
      </c>
      <c r="F177" s="1" t="s">
        <v>26</v>
      </c>
      <c r="G177" s="1" t="s">
        <v>34</v>
      </c>
      <c r="H177">
        <v>17</v>
      </c>
      <c r="I177">
        <v>20</v>
      </c>
      <c r="J177">
        <v>3.6</v>
      </c>
      <c r="K177">
        <v>0</v>
      </c>
      <c r="L177">
        <v>0.63</v>
      </c>
      <c r="M177" s="1" t="s">
        <v>51</v>
      </c>
      <c r="N177" s="1" t="s">
        <v>21</v>
      </c>
      <c r="O177">
        <v>10</v>
      </c>
      <c r="P177">
        <v>4</v>
      </c>
      <c r="Q177" t="str">
        <f t="shared" si="11"/>
        <v>AMANDA JONES</v>
      </c>
      <c r="R177" t="str">
        <f t="shared" si="12"/>
        <v>australia</v>
      </c>
      <c r="S177" t="str">
        <f>PROPER(global_freelancer_raw[[#This Row],[NAME UPPER]])</f>
        <v>Amanda Jones</v>
      </c>
      <c r="T177" t="str">
        <f t="shared" si="13"/>
        <v>Au</v>
      </c>
      <c r="U177" t="str">
        <f t="shared" si="10"/>
        <v>da Jon</v>
      </c>
      <c r="V177" t="str">
        <f t="shared" si="14"/>
        <v>76</v>
      </c>
    </row>
    <row r="178" spans="1:22" x14ac:dyDescent="0.3">
      <c r="A178" s="1" t="s">
        <v>446</v>
      </c>
      <c r="B178" s="1" t="s">
        <v>447</v>
      </c>
      <c r="C178" s="1" t="s">
        <v>68</v>
      </c>
      <c r="D178">
        <v>47</v>
      </c>
      <c r="E178" s="1" t="s">
        <v>102</v>
      </c>
      <c r="F178" s="1" t="s">
        <v>103</v>
      </c>
      <c r="G178" s="1" t="s">
        <v>98</v>
      </c>
      <c r="H178">
        <v>8</v>
      </c>
      <c r="I178">
        <v>20</v>
      </c>
      <c r="J178">
        <v>4.5</v>
      </c>
      <c r="K178">
        <v>1</v>
      </c>
      <c r="L178">
        <v>0.72</v>
      </c>
      <c r="M178" s="1" t="s">
        <v>72</v>
      </c>
      <c r="N178" s="1" t="s">
        <v>36</v>
      </c>
      <c r="O178">
        <v>12</v>
      </c>
      <c r="P178">
        <v>10</v>
      </c>
      <c r="Q178" t="str">
        <f t="shared" si="11"/>
        <v>FREDERICK WARE</v>
      </c>
      <c r="R178" t="str">
        <f t="shared" si="12"/>
        <v>india</v>
      </c>
      <c r="S178" t="str">
        <f>PROPER(global_freelancer_raw[[#This Row],[NAME UPPER]])</f>
        <v>Frederick Ware</v>
      </c>
      <c r="T178" t="str">
        <f t="shared" si="13"/>
        <v>In</v>
      </c>
      <c r="U178" t="str">
        <f t="shared" si="10"/>
        <v xml:space="preserve">erick </v>
      </c>
      <c r="V178" t="str">
        <f t="shared" si="14"/>
        <v>77</v>
      </c>
    </row>
    <row r="179" spans="1:22" x14ac:dyDescent="0.3">
      <c r="A179" s="1" t="s">
        <v>448</v>
      </c>
      <c r="B179" s="1" t="s">
        <v>449</v>
      </c>
      <c r="C179" s="1" t="s">
        <v>68</v>
      </c>
      <c r="D179">
        <v>47</v>
      </c>
      <c r="E179" s="1" t="s">
        <v>162</v>
      </c>
      <c r="F179" s="1" t="s">
        <v>163</v>
      </c>
      <c r="G179" s="1" t="s">
        <v>49</v>
      </c>
      <c r="H179">
        <v>14</v>
      </c>
      <c r="I179" t="s">
        <v>50</v>
      </c>
      <c r="J179">
        <v>0</v>
      </c>
      <c r="K179" t="b">
        <v>1</v>
      </c>
      <c r="L179">
        <v>0.86</v>
      </c>
      <c r="M179" s="1" t="s">
        <v>51</v>
      </c>
      <c r="N179" s="1" t="s">
        <v>36</v>
      </c>
      <c r="O179">
        <v>14</v>
      </c>
      <c r="P179">
        <v>3</v>
      </c>
      <c r="Q179" t="str">
        <f t="shared" si="11"/>
        <v>MICHAEL BLACK</v>
      </c>
      <c r="R179" t="str">
        <f t="shared" si="12"/>
        <v>south africa</v>
      </c>
      <c r="S179" t="str">
        <f>PROPER(global_freelancer_raw[[#This Row],[NAME UPPER]])</f>
        <v>Michael Black</v>
      </c>
      <c r="T179" t="str">
        <f t="shared" si="13"/>
        <v>So</v>
      </c>
      <c r="U179" t="str">
        <f t="shared" si="10"/>
        <v>ael Bl</v>
      </c>
      <c r="V179" t="str">
        <f t="shared" si="14"/>
        <v>78</v>
      </c>
    </row>
    <row r="180" spans="1:22" x14ac:dyDescent="0.3">
      <c r="A180" s="1" t="s">
        <v>450</v>
      </c>
      <c r="B180" s="1" t="s">
        <v>451</v>
      </c>
      <c r="C180" s="1" t="s">
        <v>24</v>
      </c>
      <c r="D180">
        <v>45</v>
      </c>
      <c r="E180" s="1" t="s">
        <v>144</v>
      </c>
      <c r="F180" s="1" t="s">
        <v>145</v>
      </c>
      <c r="G180" s="1" t="s">
        <v>34</v>
      </c>
      <c r="H180">
        <v>21</v>
      </c>
      <c r="I180" t="s">
        <v>118</v>
      </c>
      <c r="J180">
        <v>1.5</v>
      </c>
      <c r="K180">
        <v>1</v>
      </c>
      <c r="L180">
        <v>0.73</v>
      </c>
      <c r="M180" s="1" t="s">
        <v>72</v>
      </c>
      <c r="N180" s="1" t="s">
        <v>21</v>
      </c>
      <c r="O180">
        <v>15</v>
      </c>
      <c r="P180">
        <v>17</v>
      </c>
      <c r="Q180" t="str">
        <f t="shared" si="11"/>
        <v>PATRICIA SANDERS</v>
      </c>
      <c r="R180" t="str">
        <f t="shared" si="12"/>
        <v>france</v>
      </c>
      <c r="S180" t="str">
        <f>PROPER(global_freelancer_raw[[#This Row],[NAME UPPER]])</f>
        <v>Patricia Sanders</v>
      </c>
      <c r="T180" t="str">
        <f t="shared" si="13"/>
        <v>Fr</v>
      </c>
      <c r="U180" t="str">
        <f t="shared" si="10"/>
        <v>icia S</v>
      </c>
      <c r="V180" t="str">
        <f t="shared" si="14"/>
        <v>79</v>
      </c>
    </row>
    <row r="181" spans="1:22" x14ac:dyDescent="0.3">
      <c r="A181" s="1" t="s">
        <v>452</v>
      </c>
      <c r="B181" s="1" t="s">
        <v>453</v>
      </c>
      <c r="C181" s="1" t="s">
        <v>54</v>
      </c>
      <c r="D181">
        <v>24</v>
      </c>
      <c r="E181" s="1" t="s">
        <v>69</v>
      </c>
      <c r="F181" s="1" t="s">
        <v>70</v>
      </c>
      <c r="G181" s="1" t="s">
        <v>123</v>
      </c>
      <c r="H181">
        <v>1</v>
      </c>
      <c r="I181" t="s">
        <v>50</v>
      </c>
      <c r="J181">
        <v>3.7</v>
      </c>
      <c r="K181" t="s">
        <v>168</v>
      </c>
      <c r="L181">
        <v>0.95</v>
      </c>
      <c r="M181" s="1" t="s">
        <v>72</v>
      </c>
      <c r="N181" s="1" t="s">
        <v>36</v>
      </c>
      <c r="O181">
        <v>3</v>
      </c>
      <c r="P181">
        <v>1</v>
      </c>
      <c r="Q181" t="str">
        <f t="shared" si="11"/>
        <v>MARC JOSEPH</v>
      </c>
      <c r="R181" t="str">
        <f t="shared" si="12"/>
        <v>turkey</v>
      </c>
      <c r="S181" t="str">
        <f>PROPER(global_freelancer_raw[[#This Row],[NAME UPPER]])</f>
        <v>Marc Joseph</v>
      </c>
      <c r="T181" t="str">
        <f t="shared" si="13"/>
        <v>Tu</v>
      </c>
      <c r="U181" t="str">
        <f t="shared" si="10"/>
        <v xml:space="preserve"> Josep</v>
      </c>
      <c r="V181" t="str">
        <f t="shared" si="14"/>
        <v>80</v>
      </c>
    </row>
    <row r="182" spans="1:22" x14ac:dyDescent="0.3">
      <c r="A182" s="1" t="s">
        <v>454</v>
      </c>
      <c r="B182" s="1" t="s">
        <v>455</v>
      </c>
      <c r="C182" s="1" t="s">
        <v>24</v>
      </c>
      <c r="D182">
        <v>31</v>
      </c>
      <c r="E182" s="1" t="s">
        <v>80</v>
      </c>
      <c r="F182" s="1" t="s">
        <v>81</v>
      </c>
      <c r="G182" s="1" t="s">
        <v>27</v>
      </c>
      <c r="H182">
        <v>12</v>
      </c>
      <c r="I182">
        <v>20</v>
      </c>
      <c r="J182">
        <v>2.2999999999999998</v>
      </c>
      <c r="K182" t="b">
        <v>0</v>
      </c>
      <c r="L182">
        <v>0.9</v>
      </c>
      <c r="M182" s="1" t="s">
        <v>51</v>
      </c>
      <c r="N182" s="1" t="s">
        <v>29</v>
      </c>
      <c r="O182">
        <v>11</v>
      </c>
      <c r="P182">
        <v>6</v>
      </c>
      <c r="Q182" t="str">
        <f t="shared" si="11"/>
        <v>VANESSA WHITE</v>
      </c>
      <c r="R182" t="str">
        <f t="shared" si="12"/>
        <v>argentina</v>
      </c>
      <c r="S182" t="str">
        <f>PROPER(global_freelancer_raw[[#This Row],[NAME UPPER]])</f>
        <v>Vanessa White</v>
      </c>
      <c r="T182" t="str">
        <f t="shared" si="13"/>
        <v>Ar</v>
      </c>
      <c r="U182" t="str">
        <f t="shared" si="10"/>
        <v>ssa Wh</v>
      </c>
      <c r="V182" t="str">
        <f t="shared" si="14"/>
        <v>81</v>
      </c>
    </row>
    <row r="183" spans="1:22" x14ac:dyDescent="0.3">
      <c r="A183" s="1" t="s">
        <v>456</v>
      </c>
      <c r="B183" s="1" t="s">
        <v>457</v>
      </c>
      <c r="C183" s="1" t="s">
        <v>39</v>
      </c>
      <c r="D183">
        <v>20</v>
      </c>
      <c r="E183" s="1" t="s">
        <v>188</v>
      </c>
      <c r="F183" s="1" t="s">
        <v>81</v>
      </c>
      <c r="G183" s="1" t="s">
        <v>34</v>
      </c>
      <c r="H183">
        <v>2</v>
      </c>
      <c r="I183" t="s">
        <v>130</v>
      </c>
      <c r="J183">
        <v>2.8</v>
      </c>
      <c r="K183">
        <v>0</v>
      </c>
      <c r="L183">
        <v>0.78</v>
      </c>
      <c r="M183" s="1" t="s">
        <v>20</v>
      </c>
      <c r="N183" s="1" t="s">
        <v>29</v>
      </c>
      <c r="O183">
        <v>5</v>
      </c>
      <c r="P183">
        <v>1</v>
      </c>
      <c r="Q183" t="str">
        <f t="shared" si="11"/>
        <v>JENNIFER GARCIA</v>
      </c>
      <c r="R183" t="str">
        <f t="shared" si="12"/>
        <v>mexico</v>
      </c>
      <c r="S183" t="str">
        <f>PROPER(global_freelancer_raw[[#This Row],[NAME UPPER]])</f>
        <v>Jennifer Garcia</v>
      </c>
      <c r="T183" t="str">
        <f t="shared" si="13"/>
        <v>Me</v>
      </c>
      <c r="U183" t="str">
        <f t="shared" si="10"/>
        <v>ifer G</v>
      </c>
      <c r="V183" t="str">
        <f t="shared" si="14"/>
        <v>82</v>
      </c>
    </row>
    <row r="184" spans="1:22" x14ac:dyDescent="0.3">
      <c r="A184" s="1" t="s">
        <v>458</v>
      </c>
      <c r="B184" s="1" t="s">
        <v>459</v>
      </c>
      <c r="C184" s="1" t="s">
        <v>68</v>
      </c>
      <c r="D184">
        <v>38</v>
      </c>
      <c r="E184" s="1" t="s">
        <v>94</v>
      </c>
      <c r="F184" s="1" t="s">
        <v>95</v>
      </c>
      <c r="G184" s="1" t="s">
        <v>40</v>
      </c>
      <c r="H184">
        <v>3</v>
      </c>
      <c r="I184">
        <v>30</v>
      </c>
      <c r="J184">
        <v>3.5</v>
      </c>
      <c r="K184" t="s">
        <v>168</v>
      </c>
      <c r="L184">
        <v>0.97</v>
      </c>
      <c r="M184" s="1" t="s">
        <v>72</v>
      </c>
      <c r="N184" s="1" t="s">
        <v>29</v>
      </c>
      <c r="O184">
        <v>3</v>
      </c>
      <c r="P184">
        <v>1</v>
      </c>
      <c r="Q184" t="str">
        <f t="shared" si="11"/>
        <v>MICHAEL ZAVALA</v>
      </c>
      <c r="R184" t="str">
        <f t="shared" si="12"/>
        <v>japan</v>
      </c>
      <c r="S184" t="str">
        <f>PROPER(global_freelancer_raw[[#This Row],[NAME UPPER]])</f>
        <v>Michael Zavala</v>
      </c>
      <c r="T184" t="str">
        <f t="shared" si="13"/>
        <v>Ja</v>
      </c>
      <c r="U184" t="str">
        <f t="shared" si="10"/>
        <v>ael Za</v>
      </c>
      <c r="V184" t="str">
        <f t="shared" si="14"/>
        <v>83</v>
      </c>
    </row>
    <row r="185" spans="1:22" x14ac:dyDescent="0.3">
      <c r="A185" s="1" t="s">
        <v>460</v>
      </c>
      <c r="B185" s="1" t="s">
        <v>461</v>
      </c>
      <c r="C185" s="1" t="s">
        <v>44</v>
      </c>
      <c r="D185">
        <v>33</v>
      </c>
      <c r="E185" s="1" t="s">
        <v>33</v>
      </c>
      <c r="F185" s="1" t="s">
        <v>33</v>
      </c>
      <c r="G185" s="1" t="s">
        <v>82</v>
      </c>
      <c r="H185">
        <v>11</v>
      </c>
      <c r="J185">
        <v>0</v>
      </c>
      <c r="K185" t="s">
        <v>76</v>
      </c>
      <c r="L185">
        <v>0.65</v>
      </c>
      <c r="M185" s="1" t="s">
        <v>20</v>
      </c>
      <c r="N185" s="1" t="s">
        <v>29</v>
      </c>
      <c r="O185">
        <v>12</v>
      </c>
      <c r="P185">
        <v>7</v>
      </c>
      <c r="Q185" t="str">
        <f t="shared" si="11"/>
        <v>KIMBERLY WILLIAMS</v>
      </c>
      <c r="R185" t="str">
        <f t="shared" si="12"/>
        <v>germany</v>
      </c>
      <c r="S185" t="str">
        <f>PROPER(global_freelancer_raw[[#This Row],[NAME UPPER]])</f>
        <v>Kimberly Williams</v>
      </c>
      <c r="T185" t="str">
        <f t="shared" si="13"/>
        <v>Ge</v>
      </c>
      <c r="U185" t="str">
        <f t="shared" si="10"/>
        <v>erly W</v>
      </c>
      <c r="V185" t="str">
        <f t="shared" si="14"/>
        <v>84</v>
      </c>
    </row>
    <row r="186" spans="1:22" x14ac:dyDescent="0.3">
      <c r="A186" s="1" t="s">
        <v>462</v>
      </c>
      <c r="B186" s="1" t="s">
        <v>463</v>
      </c>
      <c r="C186" s="1" t="s">
        <v>39</v>
      </c>
      <c r="D186">
        <v>31</v>
      </c>
      <c r="E186" s="1" t="s">
        <v>25</v>
      </c>
      <c r="F186" s="1" t="s">
        <v>26</v>
      </c>
      <c r="G186" s="1" t="s">
        <v>40</v>
      </c>
      <c r="H186">
        <v>4</v>
      </c>
      <c r="I186">
        <v>40</v>
      </c>
      <c r="J186">
        <v>3.2</v>
      </c>
      <c r="K186">
        <v>1</v>
      </c>
      <c r="L186">
        <v>0.78</v>
      </c>
      <c r="M186" s="1" t="s">
        <v>77</v>
      </c>
      <c r="N186" s="1" t="s">
        <v>36</v>
      </c>
      <c r="O186">
        <v>4</v>
      </c>
      <c r="P186">
        <v>1</v>
      </c>
      <c r="Q186" t="str">
        <f t="shared" si="11"/>
        <v>ELIZABETH JENKINS</v>
      </c>
      <c r="R186" t="str">
        <f t="shared" si="12"/>
        <v>australia</v>
      </c>
      <c r="S186" t="str">
        <f>PROPER(global_freelancer_raw[[#This Row],[NAME UPPER]])</f>
        <v>Elizabeth Jenkins</v>
      </c>
      <c r="T186" t="str">
        <f t="shared" si="13"/>
        <v>Au</v>
      </c>
      <c r="U186" t="str">
        <f t="shared" si="10"/>
        <v xml:space="preserve">abeth </v>
      </c>
      <c r="V186" t="str">
        <f t="shared" si="14"/>
        <v>85</v>
      </c>
    </row>
    <row r="187" spans="1:22" x14ac:dyDescent="0.3">
      <c r="A187" s="1" t="s">
        <v>464</v>
      </c>
      <c r="B187" s="1" t="s">
        <v>465</v>
      </c>
      <c r="C187" s="1" t="s">
        <v>54</v>
      </c>
      <c r="D187">
        <v>41</v>
      </c>
      <c r="E187" s="1" t="s">
        <v>199</v>
      </c>
      <c r="F187" s="1" t="s">
        <v>81</v>
      </c>
      <c r="G187" s="1" t="s">
        <v>123</v>
      </c>
      <c r="H187">
        <v>21</v>
      </c>
      <c r="I187">
        <v>50</v>
      </c>
      <c r="J187">
        <v>3.3</v>
      </c>
      <c r="K187" t="s">
        <v>83</v>
      </c>
      <c r="L187">
        <v>0.65</v>
      </c>
      <c r="M187" s="1" t="s">
        <v>72</v>
      </c>
      <c r="N187" s="1" t="s">
        <v>21</v>
      </c>
      <c r="O187">
        <v>20</v>
      </c>
      <c r="P187">
        <v>4</v>
      </c>
      <c r="Q187" t="str">
        <f t="shared" si="11"/>
        <v>BRANDON FORD</v>
      </c>
      <c r="R187" t="str">
        <f t="shared" si="12"/>
        <v>spain</v>
      </c>
      <c r="S187" t="str">
        <f>PROPER(global_freelancer_raw[[#This Row],[NAME UPPER]])</f>
        <v>Brandon Ford</v>
      </c>
      <c r="T187" t="str">
        <f t="shared" si="13"/>
        <v>Sp</v>
      </c>
      <c r="U187" t="str">
        <f t="shared" si="10"/>
        <v>don Fo</v>
      </c>
      <c r="V187" t="str">
        <f t="shared" si="14"/>
        <v>86</v>
      </c>
    </row>
    <row r="188" spans="1:22" x14ac:dyDescent="0.3">
      <c r="A188" s="1" t="s">
        <v>466</v>
      </c>
      <c r="B188" s="1" t="s">
        <v>467</v>
      </c>
      <c r="C188" s="1" t="s">
        <v>68</v>
      </c>
      <c r="D188">
        <v>54</v>
      </c>
      <c r="E188" s="1" t="s">
        <v>69</v>
      </c>
      <c r="F188" s="1" t="s">
        <v>70</v>
      </c>
      <c r="G188" s="1" t="s">
        <v>40</v>
      </c>
      <c r="H188">
        <v>0</v>
      </c>
      <c r="I188" t="s">
        <v>130</v>
      </c>
      <c r="J188">
        <v>4.9000000000000004</v>
      </c>
      <c r="M188" s="1" t="s">
        <v>20</v>
      </c>
      <c r="N188" s="1" t="s">
        <v>21</v>
      </c>
      <c r="O188">
        <v>2</v>
      </c>
      <c r="P188">
        <v>4</v>
      </c>
      <c r="Q188" t="str">
        <f t="shared" si="11"/>
        <v>JUSTIN HOUSE</v>
      </c>
      <c r="R188" t="str">
        <f t="shared" si="12"/>
        <v>turkey</v>
      </c>
      <c r="S188" t="str">
        <f>PROPER(global_freelancer_raw[[#This Row],[NAME UPPER]])</f>
        <v>Justin House</v>
      </c>
      <c r="T188" t="str">
        <f t="shared" si="13"/>
        <v>Tu</v>
      </c>
      <c r="U188" t="str">
        <f t="shared" si="10"/>
        <v>in Hou</v>
      </c>
      <c r="V188" t="str">
        <f t="shared" si="14"/>
        <v>87</v>
      </c>
    </row>
    <row r="189" spans="1:22" x14ac:dyDescent="0.3">
      <c r="A189" s="1" t="s">
        <v>468</v>
      </c>
      <c r="B189" s="1" t="s">
        <v>469</v>
      </c>
      <c r="C189" s="1" t="s">
        <v>32</v>
      </c>
      <c r="D189">
        <v>50</v>
      </c>
      <c r="E189" s="1" t="s">
        <v>188</v>
      </c>
      <c r="F189" s="1" t="s">
        <v>81</v>
      </c>
      <c r="G189" s="1" t="s">
        <v>57</v>
      </c>
      <c r="H189">
        <v>6</v>
      </c>
      <c r="I189">
        <v>30</v>
      </c>
      <c r="J189">
        <v>2.2000000000000002</v>
      </c>
      <c r="K189">
        <v>1</v>
      </c>
      <c r="L189">
        <v>0.95</v>
      </c>
      <c r="M189" s="1" t="s">
        <v>20</v>
      </c>
      <c r="N189" s="1" t="s">
        <v>21</v>
      </c>
      <c r="O189">
        <v>13</v>
      </c>
      <c r="P189">
        <v>2</v>
      </c>
      <c r="Q189" t="str">
        <f t="shared" si="11"/>
        <v>HENRY MULLEN</v>
      </c>
      <c r="R189" t="str">
        <f t="shared" si="12"/>
        <v>mexico</v>
      </c>
      <c r="S189" t="str">
        <f>PROPER(global_freelancer_raw[[#This Row],[NAME UPPER]])</f>
        <v>Henry Mullen</v>
      </c>
      <c r="T189" t="str">
        <f t="shared" si="13"/>
        <v>Me</v>
      </c>
      <c r="U189" t="str">
        <f t="shared" si="10"/>
        <v>y Mull</v>
      </c>
      <c r="V189" t="str">
        <f t="shared" si="14"/>
        <v>88</v>
      </c>
    </row>
    <row r="190" spans="1:22" x14ac:dyDescent="0.3">
      <c r="A190" s="1" t="s">
        <v>470</v>
      </c>
      <c r="B190" s="1" t="s">
        <v>471</v>
      </c>
      <c r="C190" s="1" t="s">
        <v>68</v>
      </c>
      <c r="D190">
        <v>48</v>
      </c>
      <c r="E190" s="1" t="s">
        <v>116</v>
      </c>
      <c r="F190" s="1" t="s">
        <v>117</v>
      </c>
      <c r="G190" s="1" t="s">
        <v>123</v>
      </c>
      <c r="H190">
        <v>18</v>
      </c>
      <c r="I190" t="s">
        <v>61</v>
      </c>
      <c r="K190">
        <v>1</v>
      </c>
      <c r="L190">
        <v>0.88</v>
      </c>
      <c r="M190" s="1" t="s">
        <v>77</v>
      </c>
      <c r="N190" s="1" t="s">
        <v>21</v>
      </c>
      <c r="O190">
        <v>14</v>
      </c>
      <c r="P190">
        <v>2</v>
      </c>
      <c r="Q190" t="str">
        <f t="shared" si="11"/>
        <v>JESSE COCHRAN</v>
      </c>
      <c r="R190" t="str">
        <f t="shared" si="12"/>
        <v>brazil</v>
      </c>
      <c r="S190" t="str">
        <f>PROPER(global_freelancer_raw[[#This Row],[NAME UPPER]])</f>
        <v>Jesse Cochran</v>
      </c>
      <c r="T190" t="str">
        <f t="shared" si="13"/>
        <v>Br</v>
      </c>
      <c r="U190" t="str">
        <f t="shared" si="10"/>
        <v>e Coch</v>
      </c>
      <c r="V190" t="str">
        <f t="shared" si="14"/>
        <v>89</v>
      </c>
    </row>
    <row r="191" spans="1:22" x14ac:dyDescent="0.3">
      <c r="A191" s="1" t="s">
        <v>472</v>
      </c>
      <c r="B191" s="1" t="s">
        <v>473</v>
      </c>
      <c r="C191" s="1" t="s">
        <v>16</v>
      </c>
      <c r="D191">
        <v>49</v>
      </c>
      <c r="E191" s="1" t="s">
        <v>188</v>
      </c>
      <c r="F191" s="1" t="s">
        <v>81</v>
      </c>
      <c r="G191" s="1" t="s">
        <v>34</v>
      </c>
      <c r="J191">
        <v>1.8</v>
      </c>
      <c r="K191">
        <v>0</v>
      </c>
      <c r="M191" s="1" t="s">
        <v>20</v>
      </c>
      <c r="N191" s="1" t="s">
        <v>65</v>
      </c>
      <c r="O191">
        <v>5</v>
      </c>
      <c r="P191">
        <v>5</v>
      </c>
      <c r="Q191" t="str">
        <f t="shared" si="11"/>
        <v>MELISSA RICH</v>
      </c>
      <c r="R191" t="str">
        <f t="shared" si="12"/>
        <v>mexico</v>
      </c>
      <c r="S191" t="str">
        <f>PROPER(global_freelancer_raw[[#This Row],[NAME UPPER]])</f>
        <v>Melissa Rich</v>
      </c>
      <c r="T191" t="str">
        <f t="shared" si="13"/>
        <v>Me</v>
      </c>
      <c r="U191" t="str">
        <f t="shared" si="10"/>
        <v>ssa Ri</v>
      </c>
      <c r="V191" t="str">
        <f t="shared" si="14"/>
        <v>90</v>
      </c>
    </row>
    <row r="192" spans="1:22" x14ac:dyDescent="0.3">
      <c r="A192" s="1" t="s">
        <v>474</v>
      </c>
      <c r="B192" s="1" t="s">
        <v>475</v>
      </c>
      <c r="C192" s="1" t="s">
        <v>106</v>
      </c>
      <c r="D192">
        <v>21</v>
      </c>
      <c r="E192" s="1" t="s">
        <v>121</v>
      </c>
      <c r="F192" s="1" t="s">
        <v>122</v>
      </c>
      <c r="G192" s="1" t="s">
        <v>34</v>
      </c>
      <c r="H192">
        <v>1</v>
      </c>
      <c r="I192">
        <v>75</v>
      </c>
      <c r="J192">
        <v>4.5999999999999996</v>
      </c>
      <c r="K192">
        <v>0</v>
      </c>
      <c r="L192">
        <v>0.92</v>
      </c>
      <c r="M192" s="1" t="s">
        <v>20</v>
      </c>
      <c r="N192" s="1" t="s">
        <v>21</v>
      </c>
      <c r="O192">
        <v>2</v>
      </c>
      <c r="P192">
        <v>1</v>
      </c>
      <c r="Q192" t="str">
        <f t="shared" si="11"/>
        <v>PATRICK DUNLAP</v>
      </c>
      <c r="R192" t="str">
        <f t="shared" si="12"/>
        <v>south korea</v>
      </c>
      <c r="S192" t="str">
        <f>PROPER(global_freelancer_raw[[#This Row],[NAME UPPER]])</f>
        <v>Patrick Dunlap</v>
      </c>
      <c r="T192" t="str">
        <f t="shared" si="13"/>
        <v>So</v>
      </c>
      <c r="U192" t="str">
        <f t="shared" si="10"/>
        <v>ick Du</v>
      </c>
      <c r="V192" t="str">
        <f t="shared" si="14"/>
        <v>91</v>
      </c>
    </row>
    <row r="193" spans="1:22" x14ac:dyDescent="0.3">
      <c r="A193" s="1" t="s">
        <v>476</v>
      </c>
      <c r="B193" s="1" t="s">
        <v>477</v>
      </c>
      <c r="C193" s="1" t="s">
        <v>101</v>
      </c>
      <c r="D193">
        <v>58</v>
      </c>
      <c r="E193" s="1" t="s">
        <v>25</v>
      </c>
      <c r="F193" s="1" t="s">
        <v>26</v>
      </c>
      <c r="G193" s="1" t="s">
        <v>34</v>
      </c>
      <c r="H193">
        <v>20</v>
      </c>
      <c r="I193">
        <v>75</v>
      </c>
      <c r="J193">
        <v>2.8</v>
      </c>
      <c r="K193" t="s">
        <v>168</v>
      </c>
      <c r="L193">
        <v>0.75</v>
      </c>
      <c r="M193" s="1" t="s">
        <v>77</v>
      </c>
      <c r="N193" s="1" t="s">
        <v>65</v>
      </c>
      <c r="O193">
        <v>13</v>
      </c>
      <c r="P193">
        <v>1</v>
      </c>
      <c r="Q193" t="str">
        <f t="shared" si="11"/>
        <v>TROY CARSON</v>
      </c>
      <c r="R193" t="str">
        <f t="shared" si="12"/>
        <v>australia</v>
      </c>
      <c r="S193" t="str">
        <f>PROPER(global_freelancer_raw[[#This Row],[NAME UPPER]])</f>
        <v>Troy Carson</v>
      </c>
      <c r="T193" t="str">
        <f t="shared" si="13"/>
        <v>Au</v>
      </c>
      <c r="U193" t="str">
        <f t="shared" si="10"/>
        <v xml:space="preserve"> Carso</v>
      </c>
      <c r="V193" t="str">
        <f t="shared" si="14"/>
        <v>92</v>
      </c>
    </row>
    <row r="194" spans="1:22" x14ac:dyDescent="0.3">
      <c r="A194" s="1" t="s">
        <v>478</v>
      </c>
      <c r="B194" s="1" t="s">
        <v>272</v>
      </c>
      <c r="C194" s="1" t="s">
        <v>68</v>
      </c>
      <c r="D194">
        <v>41</v>
      </c>
      <c r="E194" s="1" t="s">
        <v>17</v>
      </c>
      <c r="F194" s="1" t="s">
        <v>18</v>
      </c>
      <c r="G194" s="1" t="s">
        <v>98</v>
      </c>
      <c r="I194" t="s">
        <v>50</v>
      </c>
      <c r="J194">
        <v>1.4</v>
      </c>
      <c r="K194" t="b">
        <v>0</v>
      </c>
      <c r="L194">
        <v>0.74</v>
      </c>
      <c r="M194" s="1" t="s">
        <v>72</v>
      </c>
      <c r="N194" s="1" t="s">
        <v>65</v>
      </c>
      <c r="O194">
        <v>2</v>
      </c>
      <c r="P194">
        <v>4</v>
      </c>
      <c r="Q194" t="str">
        <f t="shared" si="11"/>
        <v>MATTHEW SMITH</v>
      </c>
      <c r="R194" t="str">
        <f t="shared" si="12"/>
        <v>italy</v>
      </c>
      <c r="S194" t="str">
        <f>PROPER(global_freelancer_raw[[#This Row],[NAME UPPER]])</f>
        <v>Matthew Smith</v>
      </c>
      <c r="T194" t="str">
        <f t="shared" si="13"/>
        <v>It</v>
      </c>
      <c r="U194" t="str">
        <f t="shared" ref="U194:U257" si="15">MID(B194,5,6)</f>
        <v>hew Sm</v>
      </c>
      <c r="V194" t="str">
        <f t="shared" si="14"/>
        <v>93</v>
      </c>
    </row>
    <row r="195" spans="1:22" x14ac:dyDescent="0.3">
      <c r="A195" s="1" t="s">
        <v>479</v>
      </c>
      <c r="B195" s="1" t="s">
        <v>480</v>
      </c>
      <c r="C195" s="1" t="s">
        <v>39</v>
      </c>
      <c r="D195">
        <v>58</v>
      </c>
      <c r="E195" s="1" t="s">
        <v>133</v>
      </c>
      <c r="F195" s="1" t="s">
        <v>134</v>
      </c>
      <c r="G195" s="1" t="s">
        <v>19</v>
      </c>
      <c r="H195">
        <v>25</v>
      </c>
      <c r="I195" t="s">
        <v>50</v>
      </c>
      <c r="J195">
        <v>4.2</v>
      </c>
      <c r="K195" t="s">
        <v>83</v>
      </c>
      <c r="L195">
        <v>0.71</v>
      </c>
      <c r="M195" s="1" t="s">
        <v>20</v>
      </c>
      <c r="N195" s="1" t="s">
        <v>29</v>
      </c>
      <c r="O195">
        <v>11</v>
      </c>
      <c r="P195">
        <v>13</v>
      </c>
      <c r="Q195" t="str">
        <f t="shared" ref="Q195:Q258" si="16">UPPER(B195)</f>
        <v>JENNIFER CHERRY</v>
      </c>
      <c r="R195" t="str">
        <f t="shared" ref="R195:R258" si="17">LOWER(E195)</f>
        <v>russia</v>
      </c>
      <c r="S195" t="str">
        <f>PROPER(global_freelancer_raw[[#This Row],[NAME UPPER]])</f>
        <v>Jennifer Cherry</v>
      </c>
      <c r="T195" t="str">
        <f t="shared" ref="T195:T258" si="18">LEFT(E195,"2")</f>
        <v>Ru</v>
      </c>
      <c r="U195" t="str">
        <f t="shared" si="15"/>
        <v>ifer C</v>
      </c>
      <c r="V195" t="str">
        <f t="shared" ref="V195:V258" si="19">RIGHT(A195,"2")</f>
        <v>94</v>
      </c>
    </row>
    <row r="196" spans="1:22" x14ac:dyDescent="0.3">
      <c r="A196" s="1" t="s">
        <v>481</v>
      </c>
      <c r="B196" s="1" t="s">
        <v>482</v>
      </c>
      <c r="C196" s="1" t="s">
        <v>44</v>
      </c>
      <c r="D196">
        <v>50</v>
      </c>
      <c r="E196" s="1" t="s">
        <v>162</v>
      </c>
      <c r="F196" s="1" t="s">
        <v>163</v>
      </c>
      <c r="G196" s="1" t="s">
        <v>34</v>
      </c>
      <c r="H196">
        <v>20</v>
      </c>
      <c r="I196" t="s">
        <v>61</v>
      </c>
      <c r="J196">
        <v>3.6</v>
      </c>
      <c r="K196">
        <v>1</v>
      </c>
      <c r="L196">
        <v>0.89</v>
      </c>
      <c r="M196" s="1" t="s">
        <v>20</v>
      </c>
      <c r="N196" s="1" t="s">
        <v>65</v>
      </c>
      <c r="O196">
        <v>17</v>
      </c>
      <c r="P196">
        <v>2</v>
      </c>
      <c r="Q196" t="str">
        <f t="shared" si="16"/>
        <v>BRANDI TUCKER</v>
      </c>
      <c r="R196" t="str">
        <f t="shared" si="17"/>
        <v>south africa</v>
      </c>
      <c r="S196" t="str">
        <f>PROPER(global_freelancer_raw[[#This Row],[NAME UPPER]])</f>
        <v>Brandi Tucker</v>
      </c>
      <c r="T196" t="str">
        <f t="shared" si="18"/>
        <v>So</v>
      </c>
      <c r="U196" t="str">
        <f t="shared" si="15"/>
        <v>di Tuc</v>
      </c>
      <c r="V196" t="str">
        <f t="shared" si="19"/>
        <v>95</v>
      </c>
    </row>
    <row r="197" spans="1:22" x14ac:dyDescent="0.3">
      <c r="A197" s="1" t="s">
        <v>483</v>
      </c>
      <c r="B197" s="1" t="s">
        <v>484</v>
      </c>
      <c r="C197" s="1" t="s">
        <v>54</v>
      </c>
      <c r="D197">
        <v>52</v>
      </c>
      <c r="E197" s="1" t="s">
        <v>55</v>
      </c>
      <c r="F197" s="1" t="s">
        <v>56</v>
      </c>
      <c r="G197" s="1" t="s">
        <v>40</v>
      </c>
      <c r="H197">
        <v>33</v>
      </c>
      <c r="I197" t="s">
        <v>238</v>
      </c>
      <c r="J197">
        <v>1.6</v>
      </c>
      <c r="L197">
        <v>0.66</v>
      </c>
      <c r="M197" s="1" t="s">
        <v>20</v>
      </c>
      <c r="N197" s="1" t="s">
        <v>36</v>
      </c>
      <c r="O197">
        <v>14</v>
      </c>
      <c r="P197">
        <v>17</v>
      </c>
      <c r="Q197" t="str">
        <f t="shared" si="16"/>
        <v>ZACHARY BURKE</v>
      </c>
      <c r="R197" t="str">
        <f t="shared" si="17"/>
        <v>indonesia</v>
      </c>
      <c r="S197" t="str">
        <f>PROPER(global_freelancer_raw[[#This Row],[NAME UPPER]])</f>
        <v>Zachary Burke</v>
      </c>
      <c r="T197" t="str">
        <f t="shared" si="18"/>
        <v>In</v>
      </c>
      <c r="U197" t="str">
        <f t="shared" si="15"/>
        <v>ary Bu</v>
      </c>
      <c r="V197" t="str">
        <f t="shared" si="19"/>
        <v>96</v>
      </c>
    </row>
    <row r="198" spans="1:22" x14ac:dyDescent="0.3">
      <c r="A198" s="1" t="s">
        <v>485</v>
      </c>
      <c r="B198" s="1" t="s">
        <v>486</v>
      </c>
      <c r="C198" s="1" t="s">
        <v>54</v>
      </c>
      <c r="D198">
        <v>34</v>
      </c>
      <c r="E198" s="1" t="s">
        <v>47</v>
      </c>
      <c r="F198" s="1" t="s">
        <v>48</v>
      </c>
      <c r="G198" s="1" t="s">
        <v>57</v>
      </c>
      <c r="H198">
        <v>6</v>
      </c>
      <c r="I198" t="s">
        <v>238</v>
      </c>
      <c r="J198">
        <v>2</v>
      </c>
      <c r="K198" t="s">
        <v>168</v>
      </c>
      <c r="M198" s="1" t="s">
        <v>51</v>
      </c>
      <c r="N198" s="1" t="s">
        <v>65</v>
      </c>
      <c r="O198">
        <v>13</v>
      </c>
      <c r="P198">
        <v>1</v>
      </c>
      <c r="Q198" t="str">
        <f t="shared" si="16"/>
        <v>THOMAS JONES</v>
      </c>
      <c r="R198" t="str">
        <f t="shared" si="17"/>
        <v>netherlands</v>
      </c>
      <c r="S198" t="str">
        <f>PROPER(global_freelancer_raw[[#This Row],[NAME UPPER]])</f>
        <v>Thomas Jones</v>
      </c>
      <c r="T198" t="str">
        <f t="shared" si="18"/>
        <v>Ne</v>
      </c>
      <c r="U198" t="str">
        <f t="shared" si="15"/>
        <v>as Jon</v>
      </c>
      <c r="V198" t="str">
        <f t="shared" si="19"/>
        <v>97</v>
      </c>
    </row>
    <row r="199" spans="1:22" x14ac:dyDescent="0.3">
      <c r="A199" s="1" t="s">
        <v>487</v>
      </c>
      <c r="B199" s="1" t="s">
        <v>488</v>
      </c>
      <c r="C199" s="1" t="s">
        <v>106</v>
      </c>
      <c r="D199">
        <v>32</v>
      </c>
      <c r="E199" s="1" t="s">
        <v>144</v>
      </c>
      <c r="F199" s="1" t="s">
        <v>145</v>
      </c>
      <c r="G199" s="1" t="s">
        <v>123</v>
      </c>
      <c r="H199">
        <v>11</v>
      </c>
      <c r="I199">
        <v>40</v>
      </c>
      <c r="J199">
        <v>4.3</v>
      </c>
      <c r="K199" t="b">
        <v>1</v>
      </c>
      <c r="L199">
        <v>0.86</v>
      </c>
      <c r="M199" s="1" t="s">
        <v>77</v>
      </c>
      <c r="N199" s="1" t="s">
        <v>29</v>
      </c>
      <c r="O199">
        <v>9</v>
      </c>
      <c r="P199">
        <v>2</v>
      </c>
      <c r="Q199" t="str">
        <f t="shared" si="16"/>
        <v>BRIAN DUNN</v>
      </c>
      <c r="R199" t="str">
        <f t="shared" si="17"/>
        <v>france</v>
      </c>
      <c r="S199" t="str">
        <f>PROPER(global_freelancer_raw[[#This Row],[NAME UPPER]])</f>
        <v>Brian Dunn</v>
      </c>
      <c r="T199" t="str">
        <f t="shared" si="18"/>
        <v>Fr</v>
      </c>
      <c r="U199" t="str">
        <f t="shared" si="15"/>
        <v>n Dunn</v>
      </c>
      <c r="V199" t="str">
        <f t="shared" si="19"/>
        <v>98</v>
      </c>
    </row>
    <row r="200" spans="1:22" x14ac:dyDescent="0.3">
      <c r="A200" s="1" t="s">
        <v>489</v>
      </c>
      <c r="B200" s="1" t="s">
        <v>490</v>
      </c>
      <c r="C200" s="1" t="s">
        <v>39</v>
      </c>
      <c r="D200">
        <v>50</v>
      </c>
      <c r="E200" s="1" t="s">
        <v>102</v>
      </c>
      <c r="F200" s="1" t="s">
        <v>103</v>
      </c>
      <c r="G200" s="1" t="s">
        <v>34</v>
      </c>
      <c r="H200">
        <v>28</v>
      </c>
      <c r="I200" t="s">
        <v>238</v>
      </c>
      <c r="J200">
        <v>4.9000000000000004</v>
      </c>
      <c r="K200" t="s">
        <v>83</v>
      </c>
      <c r="L200">
        <v>0.86</v>
      </c>
      <c r="M200" s="1" t="s">
        <v>51</v>
      </c>
      <c r="N200" s="1" t="s">
        <v>65</v>
      </c>
      <c r="O200">
        <v>12</v>
      </c>
      <c r="P200">
        <v>3</v>
      </c>
      <c r="Q200" t="str">
        <f t="shared" si="16"/>
        <v>SHIRLEY STRICKLAND</v>
      </c>
      <c r="R200" t="str">
        <f t="shared" si="17"/>
        <v>india</v>
      </c>
      <c r="S200" t="str">
        <f>PROPER(global_freelancer_raw[[#This Row],[NAME UPPER]])</f>
        <v>Shirley Strickland</v>
      </c>
      <c r="T200" t="str">
        <f t="shared" si="18"/>
        <v>In</v>
      </c>
      <c r="U200" t="str">
        <f t="shared" si="15"/>
        <v>ley St</v>
      </c>
      <c r="V200" t="str">
        <f t="shared" si="19"/>
        <v>99</v>
      </c>
    </row>
    <row r="201" spans="1:22" x14ac:dyDescent="0.3">
      <c r="A201" s="1" t="s">
        <v>491</v>
      </c>
      <c r="B201" s="1" t="s">
        <v>492</v>
      </c>
      <c r="C201" s="1" t="s">
        <v>44</v>
      </c>
      <c r="D201">
        <v>39</v>
      </c>
      <c r="E201" s="1" t="s">
        <v>80</v>
      </c>
      <c r="F201" s="1" t="s">
        <v>81</v>
      </c>
      <c r="G201" s="1" t="s">
        <v>57</v>
      </c>
      <c r="H201">
        <v>11</v>
      </c>
      <c r="I201">
        <v>100</v>
      </c>
      <c r="J201">
        <v>3.5</v>
      </c>
      <c r="K201" t="s">
        <v>83</v>
      </c>
      <c r="L201">
        <v>0.82</v>
      </c>
      <c r="M201" s="1" t="s">
        <v>77</v>
      </c>
      <c r="N201" s="1" t="s">
        <v>36</v>
      </c>
      <c r="O201">
        <v>12</v>
      </c>
      <c r="P201">
        <v>2</v>
      </c>
      <c r="Q201" t="str">
        <f t="shared" si="16"/>
        <v>NICOLE MEYERS</v>
      </c>
      <c r="R201" t="str">
        <f t="shared" si="17"/>
        <v>argentina</v>
      </c>
      <c r="S201" t="str">
        <f>PROPER(global_freelancer_raw[[#This Row],[NAME UPPER]])</f>
        <v>Nicole Meyers</v>
      </c>
      <c r="T201" t="str">
        <f t="shared" si="18"/>
        <v>Ar</v>
      </c>
      <c r="U201" t="str">
        <f t="shared" si="15"/>
        <v>le Mey</v>
      </c>
      <c r="V201" t="str">
        <f t="shared" si="19"/>
        <v>00</v>
      </c>
    </row>
    <row r="202" spans="1:22" x14ac:dyDescent="0.3">
      <c r="A202" s="1" t="s">
        <v>493</v>
      </c>
      <c r="B202" s="1" t="s">
        <v>494</v>
      </c>
      <c r="C202" s="1" t="s">
        <v>16</v>
      </c>
      <c r="D202">
        <v>25</v>
      </c>
      <c r="E202" s="1" t="s">
        <v>199</v>
      </c>
      <c r="F202" s="1" t="s">
        <v>81</v>
      </c>
      <c r="G202" s="1" t="s">
        <v>49</v>
      </c>
      <c r="H202">
        <v>2</v>
      </c>
      <c r="I202">
        <v>100</v>
      </c>
      <c r="J202">
        <v>2.5</v>
      </c>
      <c r="K202" t="s">
        <v>168</v>
      </c>
      <c r="L202">
        <v>87</v>
      </c>
      <c r="M202" s="1" t="s">
        <v>72</v>
      </c>
      <c r="N202" s="1" t="s">
        <v>36</v>
      </c>
      <c r="O202">
        <v>1</v>
      </c>
      <c r="P202">
        <v>1</v>
      </c>
      <c r="Q202" t="str">
        <f t="shared" si="16"/>
        <v>JILL STEPHENS</v>
      </c>
      <c r="R202" t="str">
        <f t="shared" si="17"/>
        <v>spain</v>
      </c>
      <c r="S202" t="str">
        <f>PROPER(global_freelancer_raw[[#This Row],[NAME UPPER]])</f>
        <v>Jill Stephens</v>
      </c>
      <c r="T202" t="str">
        <f t="shared" si="18"/>
        <v>Sp</v>
      </c>
      <c r="U202" t="str">
        <f t="shared" si="15"/>
        <v xml:space="preserve"> Steph</v>
      </c>
      <c r="V202" t="str">
        <f t="shared" si="19"/>
        <v>01</v>
      </c>
    </row>
    <row r="203" spans="1:22" x14ac:dyDescent="0.3">
      <c r="A203" s="1" t="s">
        <v>495</v>
      </c>
      <c r="B203" s="1" t="s">
        <v>496</v>
      </c>
      <c r="C203" s="1" t="s">
        <v>24</v>
      </c>
      <c r="D203">
        <v>55</v>
      </c>
      <c r="E203" s="1" t="s">
        <v>184</v>
      </c>
      <c r="F203" s="1" t="s">
        <v>185</v>
      </c>
      <c r="G203" s="1" t="s">
        <v>123</v>
      </c>
      <c r="H203">
        <v>7</v>
      </c>
      <c r="I203">
        <v>100</v>
      </c>
      <c r="J203">
        <v>1.7</v>
      </c>
      <c r="K203">
        <v>1</v>
      </c>
      <c r="L203">
        <v>0.8</v>
      </c>
      <c r="M203" s="1" t="s">
        <v>72</v>
      </c>
      <c r="N203" s="1" t="s">
        <v>36</v>
      </c>
      <c r="O203">
        <v>14</v>
      </c>
      <c r="P203">
        <v>4</v>
      </c>
      <c r="Q203" t="str">
        <f t="shared" si="16"/>
        <v>HEIDI MIRANDA</v>
      </c>
      <c r="R203" t="str">
        <f t="shared" si="17"/>
        <v>china</v>
      </c>
      <c r="S203" t="str">
        <f>PROPER(global_freelancer_raw[[#This Row],[NAME UPPER]])</f>
        <v>Heidi Miranda</v>
      </c>
      <c r="T203" t="str">
        <f t="shared" si="18"/>
        <v>Ch</v>
      </c>
      <c r="U203" t="str">
        <f t="shared" si="15"/>
        <v>i Mira</v>
      </c>
      <c r="V203" t="str">
        <f t="shared" si="19"/>
        <v>02</v>
      </c>
    </row>
    <row r="204" spans="1:22" x14ac:dyDescent="0.3">
      <c r="A204" s="1" t="s">
        <v>497</v>
      </c>
      <c r="B204" s="1" t="s">
        <v>498</v>
      </c>
      <c r="C204" s="1" t="s">
        <v>54</v>
      </c>
      <c r="D204">
        <v>42</v>
      </c>
      <c r="E204" s="1" t="s">
        <v>17</v>
      </c>
      <c r="F204" s="1" t="s">
        <v>18</v>
      </c>
      <c r="G204" s="1" t="s">
        <v>98</v>
      </c>
      <c r="H204">
        <v>10</v>
      </c>
      <c r="I204" t="s">
        <v>28</v>
      </c>
      <c r="J204">
        <v>4.5999999999999996</v>
      </c>
      <c r="K204" t="s">
        <v>83</v>
      </c>
      <c r="L204">
        <v>0.71</v>
      </c>
      <c r="M204" s="1" t="s">
        <v>20</v>
      </c>
      <c r="N204" s="1" t="s">
        <v>29</v>
      </c>
      <c r="O204">
        <v>15</v>
      </c>
      <c r="P204">
        <v>10</v>
      </c>
      <c r="Q204" t="str">
        <f t="shared" si="16"/>
        <v>JESUS MARTINEZ</v>
      </c>
      <c r="R204" t="str">
        <f t="shared" si="17"/>
        <v>italy</v>
      </c>
      <c r="S204" t="str">
        <f>PROPER(global_freelancer_raw[[#This Row],[NAME UPPER]])</f>
        <v>Jesus Martinez</v>
      </c>
      <c r="T204" t="str">
        <f t="shared" si="18"/>
        <v>It</v>
      </c>
      <c r="U204" t="str">
        <f t="shared" si="15"/>
        <v>s Mart</v>
      </c>
      <c r="V204" t="str">
        <f t="shared" si="19"/>
        <v>03</v>
      </c>
    </row>
    <row r="205" spans="1:22" x14ac:dyDescent="0.3">
      <c r="A205" s="1" t="s">
        <v>499</v>
      </c>
      <c r="B205" s="1" t="s">
        <v>500</v>
      </c>
      <c r="C205" s="1" t="s">
        <v>32</v>
      </c>
      <c r="D205">
        <v>43</v>
      </c>
      <c r="E205" s="1" t="s">
        <v>133</v>
      </c>
      <c r="F205" s="1" t="s">
        <v>134</v>
      </c>
      <c r="G205" s="1" t="s">
        <v>27</v>
      </c>
      <c r="H205">
        <v>6</v>
      </c>
      <c r="I205">
        <v>50</v>
      </c>
      <c r="K205" t="s">
        <v>35</v>
      </c>
      <c r="L205">
        <v>0.77</v>
      </c>
      <c r="M205" s="1" t="s">
        <v>77</v>
      </c>
      <c r="N205" s="1" t="s">
        <v>29</v>
      </c>
      <c r="O205">
        <v>6</v>
      </c>
      <c r="P205">
        <v>9</v>
      </c>
      <c r="Q205" t="str">
        <f t="shared" si="16"/>
        <v>ADAM PAYNE</v>
      </c>
      <c r="R205" t="str">
        <f t="shared" si="17"/>
        <v>russia</v>
      </c>
      <c r="S205" t="str">
        <f>PROPER(global_freelancer_raw[[#This Row],[NAME UPPER]])</f>
        <v>Adam Payne</v>
      </c>
      <c r="T205" t="str">
        <f t="shared" si="18"/>
        <v>Ru</v>
      </c>
      <c r="U205" t="str">
        <f t="shared" si="15"/>
        <v xml:space="preserve"> Payne</v>
      </c>
      <c r="V205" t="str">
        <f t="shared" si="19"/>
        <v>04</v>
      </c>
    </row>
    <row r="206" spans="1:22" x14ac:dyDescent="0.3">
      <c r="A206" s="1" t="s">
        <v>501</v>
      </c>
      <c r="B206" s="1" t="s">
        <v>502</v>
      </c>
      <c r="C206" s="1" t="s">
        <v>54</v>
      </c>
      <c r="D206">
        <v>54</v>
      </c>
      <c r="E206" s="1" t="s">
        <v>17</v>
      </c>
      <c r="F206" s="1" t="s">
        <v>18</v>
      </c>
      <c r="G206" s="1" t="s">
        <v>98</v>
      </c>
      <c r="H206">
        <v>29</v>
      </c>
      <c r="I206" t="s">
        <v>50</v>
      </c>
      <c r="J206">
        <v>1.7</v>
      </c>
      <c r="K206">
        <v>0</v>
      </c>
      <c r="L206">
        <v>68</v>
      </c>
      <c r="M206" s="1" t="s">
        <v>72</v>
      </c>
      <c r="N206" s="1" t="s">
        <v>21</v>
      </c>
      <c r="O206">
        <v>19</v>
      </c>
      <c r="P206">
        <v>2</v>
      </c>
      <c r="Q206" t="str">
        <f t="shared" si="16"/>
        <v>WALTER WILLIAMS</v>
      </c>
      <c r="R206" t="str">
        <f t="shared" si="17"/>
        <v>italy</v>
      </c>
      <c r="S206" t="str">
        <f>PROPER(global_freelancer_raw[[#This Row],[NAME UPPER]])</f>
        <v>Walter Williams</v>
      </c>
      <c r="T206" t="str">
        <f t="shared" si="18"/>
        <v>It</v>
      </c>
      <c r="U206" t="str">
        <f t="shared" si="15"/>
        <v>er Wil</v>
      </c>
      <c r="V206" t="str">
        <f t="shared" si="19"/>
        <v>05</v>
      </c>
    </row>
    <row r="207" spans="1:22" x14ac:dyDescent="0.3">
      <c r="A207" s="1" t="s">
        <v>503</v>
      </c>
      <c r="B207" s="1" t="s">
        <v>504</v>
      </c>
      <c r="C207" s="1" t="s">
        <v>24</v>
      </c>
      <c r="D207">
        <v>21</v>
      </c>
      <c r="E207" s="1" t="s">
        <v>148</v>
      </c>
      <c r="F207" s="1" t="s">
        <v>149</v>
      </c>
      <c r="G207" s="1" t="s">
        <v>34</v>
      </c>
      <c r="H207">
        <v>0</v>
      </c>
      <c r="I207">
        <v>20</v>
      </c>
      <c r="J207">
        <v>1.8</v>
      </c>
      <c r="K207" t="s">
        <v>35</v>
      </c>
      <c r="L207">
        <v>0.91</v>
      </c>
      <c r="M207" s="1" t="s">
        <v>77</v>
      </c>
      <c r="N207" s="1" t="s">
        <v>29</v>
      </c>
      <c r="O207">
        <v>4</v>
      </c>
      <c r="P207">
        <v>1</v>
      </c>
      <c r="Q207" t="str">
        <f t="shared" si="16"/>
        <v>SHANNON FARMER</v>
      </c>
      <c r="R207" t="str">
        <f t="shared" si="17"/>
        <v>egypt</v>
      </c>
      <c r="S207" t="str">
        <f>PROPER(global_freelancer_raw[[#This Row],[NAME UPPER]])</f>
        <v>Shannon Farmer</v>
      </c>
      <c r="T207" t="str">
        <f t="shared" si="18"/>
        <v>Eg</v>
      </c>
      <c r="U207" t="str">
        <f t="shared" si="15"/>
        <v>non Fa</v>
      </c>
      <c r="V207" t="str">
        <f t="shared" si="19"/>
        <v>06</v>
      </c>
    </row>
    <row r="208" spans="1:22" x14ac:dyDescent="0.3">
      <c r="A208" s="1" t="s">
        <v>505</v>
      </c>
      <c r="B208" s="1" t="s">
        <v>506</v>
      </c>
      <c r="C208" s="1" t="s">
        <v>54</v>
      </c>
      <c r="D208">
        <v>46</v>
      </c>
      <c r="E208" s="1" t="s">
        <v>137</v>
      </c>
      <c r="F208" s="1" t="s">
        <v>26</v>
      </c>
      <c r="G208" s="1" t="s">
        <v>82</v>
      </c>
      <c r="H208">
        <v>5</v>
      </c>
      <c r="I208">
        <v>20</v>
      </c>
      <c r="J208">
        <v>2.2000000000000002</v>
      </c>
      <c r="K208" t="b">
        <v>0</v>
      </c>
      <c r="L208">
        <v>0.75</v>
      </c>
      <c r="M208" s="1" t="s">
        <v>72</v>
      </c>
      <c r="N208" s="1" t="s">
        <v>36</v>
      </c>
      <c r="O208">
        <v>1</v>
      </c>
      <c r="P208">
        <v>5</v>
      </c>
      <c r="Q208" t="str">
        <f t="shared" si="16"/>
        <v>PETER REYES</v>
      </c>
      <c r="R208" t="str">
        <f t="shared" si="17"/>
        <v>canada</v>
      </c>
      <c r="S208" t="str">
        <f>PROPER(global_freelancer_raw[[#This Row],[NAME UPPER]])</f>
        <v>Peter Reyes</v>
      </c>
      <c r="T208" t="str">
        <f t="shared" si="18"/>
        <v>Ca</v>
      </c>
      <c r="U208" t="str">
        <f t="shared" si="15"/>
        <v>r Reye</v>
      </c>
      <c r="V208" t="str">
        <f t="shared" si="19"/>
        <v>07</v>
      </c>
    </row>
    <row r="209" spans="1:22" x14ac:dyDescent="0.3">
      <c r="A209" s="1" t="s">
        <v>507</v>
      </c>
      <c r="B209" s="1" t="s">
        <v>508</v>
      </c>
      <c r="C209" s="1" t="s">
        <v>16</v>
      </c>
      <c r="D209">
        <v>30</v>
      </c>
      <c r="E209" s="1" t="s">
        <v>199</v>
      </c>
      <c r="F209" s="1" t="s">
        <v>81</v>
      </c>
      <c r="G209" s="1" t="s">
        <v>19</v>
      </c>
      <c r="H209">
        <v>11</v>
      </c>
      <c r="I209">
        <v>40</v>
      </c>
      <c r="J209">
        <v>1</v>
      </c>
      <c r="K209" t="s">
        <v>35</v>
      </c>
      <c r="L209">
        <v>0.9</v>
      </c>
      <c r="M209" s="1" t="s">
        <v>51</v>
      </c>
      <c r="N209" s="1" t="s">
        <v>36</v>
      </c>
      <c r="O209">
        <v>11</v>
      </c>
      <c r="P209">
        <v>1</v>
      </c>
      <c r="Q209" t="str">
        <f t="shared" si="16"/>
        <v>KRISTEN KNIGHT</v>
      </c>
      <c r="R209" t="str">
        <f t="shared" si="17"/>
        <v>spain</v>
      </c>
      <c r="S209" t="str">
        <f>PROPER(global_freelancer_raw[[#This Row],[NAME UPPER]])</f>
        <v>Kristen Knight</v>
      </c>
      <c r="T209" t="str">
        <f t="shared" si="18"/>
        <v>Sp</v>
      </c>
      <c r="U209" t="str">
        <f t="shared" si="15"/>
        <v>ten Kn</v>
      </c>
      <c r="V209" t="str">
        <f t="shared" si="19"/>
        <v>08</v>
      </c>
    </row>
    <row r="210" spans="1:22" x14ac:dyDescent="0.3">
      <c r="A210" s="1" t="s">
        <v>509</v>
      </c>
      <c r="B210" s="1" t="s">
        <v>510</v>
      </c>
      <c r="C210" s="1" t="s">
        <v>32</v>
      </c>
      <c r="D210">
        <v>36</v>
      </c>
      <c r="E210" s="1" t="s">
        <v>184</v>
      </c>
      <c r="F210" s="1" t="s">
        <v>185</v>
      </c>
      <c r="G210" s="1" t="s">
        <v>123</v>
      </c>
      <c r="H210">
        <v>11</v>
      </c>
      <c r="I210" t="s">
        <v>179</v>
      </c>
      <c r="J210">
        <v>3.2</v>
      </c>
      <c r="K210">
        <v>0</v>
      </c>
      <c r="L210">
        <v>93</v>
      </c>
      <c r="M210" s="1" t="s">
        <v>72</v>
      </c>
      <c r="N210" s="1" t="s">
        <v>29</v>
      </c>
      <c r="O210">
        <v>10</v>
      </c>
      <c r="P210">
        <v>3</v>
      </c>
      <c r="Q210" t="str">
        <f t="shared" si="16"/>
        <v>WILLIAM MOORE JR.</v>
      </c>
      <c r="R210" t="str">
        <f t="shared" si="17"/>
        <v>china</v>
      </c>
      <c r="S210" t="str">
        <f>PROPER(global_freelancer_raw[[#This Row],[NAME UPPER]])</f>
        <v>William Moore Jr.</v>
      </c>
      <c r="T210" t="str">
        <f t="shared" si="18"/>
        <v>Ch</v>
      </c>
      <c r="U210" t="str">
        <f t="shared" si="15"/>
        <v>iam Mo</v>
      </c>
      <c r="V210" t="str">
        <f t="shared" si="19"/>
        <v>09</v>
      </c>
    </row>
    <row r="211" spans="1:22" x14ac:dyDescent="0.3">
      <c r="A211" s="1" t="s">
        <v>511</v>
      </c>
      <c r="B211" s="1" t="s">
        <v>512</v>
      </c>
      <c r="C211" s="1" t="s">
        <v>86</v>
      </c>
      <c r="D211">
        <v>47</v>
      </c>
      <c r="E211" s="1" t="s">
        <v>33</v>
      </c>
      <c r="F211" s="1" t="s">
        <v>33</v>
      </c>
      <c r="G211" s="1" t="s">
        <v>57</v>
      </c>
      <c r="H211">
        <v>15</v>
      </c>
      <c r="I211">
        <v>40</v>
      </c>
      <c r="J211">
        <v>2.1</v>
      </c>
      <c r="K211" t="s">
        <v>76</v>
      </c>
      <c r="L211">
        <v>0.94</v>
      </c>
      <c r="M211" s="1" t="s">
        <v>51</v>
      </c>
      <c r="N211" s="1" t="s">
        <v>65</v>
      </c>
      <c r="O211">
        <v>8</v>
      </c>
      <c r="P211">
        <v>10</v>
      </c>
      <c r="Q211" t="str">
        <f t="shared" si="16"/>
        <v>JENNIFER ROWE</v>
      </c>
      <c r="R211" t="str">
        <f t="shared" si="17"/>
        <v>germany</v>
      </c>
      <c r="S211" t="str">
        <f>PROPER(global_freelancer_raw[[#This Row],[NAME UPPER]])</f>
        <v>Jennifer Rowe</v>
      </c>
      <c r="T211" t="str">
        <f t="shared" si="18"/>
        <v>Ge</v>
      </c>
      <c r="U211" t="str">
        <f t="shared" si="15"/>
        <v>ifer R</v>
      </c>
      <c r="V211" t="str">
        <f t="shared" si="19"/>
        <v>10</v>
      </c>
    </row>
    <row r="212" spans="1:22" x14ac:dyDescent="0.3">
      <c r="A212" s="1" t="s">
        <v>513</v>
      </c>
      <c r="B212" s="1" t="s">
        <v>514</v>
      </c>
      <c r="C212" s="1" t="s">
        <v>39</v>
      </c>
      <c r="D212">
        <v>43</v>
      </c>
      <c r="E212" s="1" t="s">
        <v>137</v>
      </c>
      <c r="F212" s="1" t="s">
        <v>26</v>
      </c>
      <c r="G212" s="1" t="s">
        <v>27</v>
      </c>
      <c r="H212">
        <v>1</v>
      </c>
      <c r="I212" t="s">
        <v>107</v>
      </c>
      <c r="J212">
        <v>4.5999999999999996</v>
      </c>
      <c r="K212" t="b">
        <v>1</v>
      </c>
      <c r="L212">
        <v>64</v>
      </c>
      <c r="M212" s="1" t="s">
        <v>72</v>
      </c>
      <c r="N212" s="1" t="s">
        <v>29</v>
      </c>
      <c r="O212">
        <v>4</v>
      </c>
      <c r="P212">
        <v>2</v>
      </c>
      <c r="Q212" t="str">
        <f t="shared" si="16"/>
        <v>MIKAYLA HENRY</v>
      </c>
      <c r="R212" t="str">
        <f t="shared" si="17"/>
        <v>canada</v>
      </c>
      <c r="S212" t="str">
        <f>PROPER(global_freelancer_raw[[#This Row],[NAME UPPER]])</f>
        <v>Mikayla Henry</v>
      </c>
      <c r="T212" t="str">
        <f t="shared" si="18"/>
        <v>Ca</v>
      </c>
      <c r="U212" t="str">
        <f t="shared" si="15"/>
        <v>yla He</v>
      </c>
      <c r="V212" t="str">
        <f t="shared" si="19"/>
        <v>11</v>
      </c>
    </row>
    <row r="213" spans="1:22" x14ac:dyDescent="0.3">
      <c r="A213" s="1" t="s">
        <v>515</v>
      </c>
      <c r="B213" s="1" t="s">
        <v>516</v>
      </c>
      <c r="C213" s="1" t="s">
        <v>54</v>
      </c>
      <c r="D213">
        <v>57</v>
      </c>
      <c r="E213" s="1" t="s">
        <v>121</v>
      </c>
      <c r="F213" s="1" t="s">
        <v>122</v>
      </c>
      <c r="G213" s="1" t="s">
        <v>87</v>
      </c>
      <c r="H213">
        <v>8</v>
      </c>
      <c r="I213" t="s">
        <v>130</v>
      </c>
      <c r="J213">
        <v>0</v>
      </c>
      <c r="K213" t="s">
        <v>76</v>
      </c>
      <c r="L213">
        <v>0.84</v>
      </c>
      <c r="M213" s="1" t="s">
        <v>20</v>
      </c>
      <c r="N213" s="1" t="s">
        <v>29</v>
      </c>
      <c r="O213">
        <v>8</v>
      </c>
      <c r="P213">
        <v>5</v>
      </c>
      <c r="Q213" t="str">
        <f t="shared" si="16"/>
        <v>JACOB KERR</v>
      </c>
      <c r="R213" t="str">
        <f t="shared" si="17"/>
        <v>south korea</v>
      </c>
      <c r="S213" t="str">
        <f>PROPER(global_freelancer_raw[[#This Row],[NAME UPPER]])</f>
        <v>Jacob Kerr</v>
      </c>
      <c r="T213" t="str">
        <f t="shared" si="18"/>
        <v>So</v>
      </c>
      <c r="U213" t="str">
        <f t="shared" si="15"/>
        <v>b Kerr</v>
      </c>
      <c r="V213" t="str">
        <f t="shared" si="19"/>
        <v>12</v>
      </c>
    </row>
    <row r="214" spans="1:22" x14ac:dyDescent="0.3">
      <c r="A214" s="1" t="s">
        <v>517</v>
      </c>
      <c r="B214" s="1" t="s">
        <v>518</v>
      </c>
      <c r="C214" s="1" t="s">
        <v>32</v>
      </c>
      <c r="D214">
        <v>52</v>
      </c>
      <c r="E214" s="1" t="s">
        <v>17</v>
      </c>
      <c r="F214" s="1" t="s">
        <v>18</v>
      </c>
      <c r="G214" s="1" t="s">
        <v>123</v>
      </c>
      <c r="H214">
        <v>30</v>
      </c>
      <c r="I214" t="s">
        <v>130</v>
      </c>
      <c r="J214">
        <v>2.8</v>
      </c>
      <c r="K214" t="s">
        <v>168</v>
      </c>
      <c r="L214">
        <v>0.87</v>
      </c>
      <c r="M214" s="1" t="s">
        <v>51</v>
      </c>
      <c r="N214" s="1" t="s">
        <v>36</v>
      </c>
      <c r="O214">
        <v>12</v>
      </c>
      <c r="P214">
        <v>5</v>
      </c>
      <c r="Q214" t="str">
        <f t="shared" si="16"/>
        <v>RYAN JOHNSON</v>
      </c>
      <c r="R214" t="str">
        <f t="shared" si="17"/>
        <v>italy</v>
      </c>
      <c r="S214" t="str">
        <f>PROPER(global_freelancer_raw[[#This Row],[NAME UPPER]])</f>
        <v>Ryan Johnson</v>
      </c>
      <c r="T214" t="str">
        <f t="shared" si="18"/>
        <v>It</v>
      </c>
      <c r="U214" t="str">
        <f t="shared" si="15"/>
        <v xml:space="preserve"> Johns</v>
      </c>
      <c r="V214" t="str">
        <f t="shared" si="19"/>
        <v>13</v>
      </c>
    </row>
    <row r="215" spans="1:22" x14ac:dyDescent="0.3">
      <c r="A215" s="1" t="s">
        <v>519</v>
      </c>
      <c r="B215" s="1" t="s">
        <v>520</v>
      </c>
      <c r="C215" s="1" t="s">
        <v>68</v>
      </c>
      <c r="E215" s="1" t="s">
        <v>33</v>
      </c>
      <c r="F215" s="1" t="s">
        <v>33</v>
      </c>
      <c r="G215" s="1" t="s">
        <v>19</v>
      </c>
      <c r="H215">
        <v>8</v>
      </c>
      <c r="I215" t="s">
        <v>41</v>
      </c>
      <c r="J215">
        <v>0</v>
      </c>
      <c r="K215" t="s">
        <v>35</v>
      </c>
      <c r="L215">
        <v>0.64</v>
      </c>
      <c r="M215" s="1" t="s">
        <v>72</v>
      </c>
      <c r="N215" s="1" t="s">
        <v>21</v>
      </c>
      <c r="O215">
        <v>14</v>
      </c>
      <c r="P215">
        <v>4</v>
      </c>
      <c r="Q215" t="str">
        <f t="shared" si="16"/>
        <v>MICHAEL RUIZ</v>
      </c>
      <c r="R215" t="str">
        <f t="shared" si="17"/>
        <v>germany</v>
      </c>
      <c r="S215" t="str">
        <f>PROPER(global_freelancer_raw[[#This Row],[NAME UPPER]])</f>
        <v>Michael Ruiz</v>
      </c>
      <c r="T215" t="str">
        <f t="shared" si="18"/>
        <v>Ge</v>
      </c>
      <c r="U215" t="str">
        <f t="shared" si="15"/>
        <v>ael Ru</v>
      </c>
      <c r="V215" t="str">
        <f t="shared" si="19"/>
        <v>14</v>
      </c>
    </row>
    <row r="216" spans="1:22" x14ac:dyDescent="0.3">
      <c r="A216" s="1" t="s">
        <v>521</v>
      </c>
      <c r="B216" s="1" t="s">
        <v>522</v>
      </c>
      <c r="C216" s="1" t="s">
        <v>44</v>
      </c>
      <c r="D216">
        <v>22</v>
      </c>
      <c r="E216" s="1" t="s">
        <v>55</v>
      </c>
      <c r="F216" s="1" t="s">
        <v>56</v>
      </c>
      <c r="G216" s="1" t="s">
        <v>123</v>
      </c>
      <c r="H216">
        <v>0</v>
      </c>
      <c r="I216">
        <v>100</v>
      </c>
      <c r="J216">
        <v>2.7</v>
      </c>
      <c r="K216" t="b">
        <v>1</v>
      </c>
      <c r="L216">
        <v>0.64</v>
      </c>
      <c r="M216" s="1" t="s">
        <v>20</v>
      </c>
      <c r="N216" s="1" t="s">
        <v>36</v>
      </c>
      <c r="O216">
        <v>1</v>
      </c>
      <c r="P216">
        <v>1</v>
      </c>
      <c r="Q216" t="str">
        <f t="shared" si="16"/>
        <v>MONICA ROBERTS</v>
      </c>
      <c r="R216" t="str">
        <f t="shared" si="17"/>
        <v>indonesia</v>
      </c>
      <c r="S216" t="str">
        <f>PROPER(global_freelancer_raw[[#This Row],[NAME UPPER]])</f>
        <v>Monica Roberts</v>
      </c>
      <c r="T216" t="str">
        <f t="shared" si="18"/>
        <v>In</v>
      </c>
      <c r="U216" t="str">
        <f t="shared" si="15"/>
        <v>ca Rob</v>
      </c>
      <c r="V216" t="str">
        <f t="shared" si="19"/>
        <v>15</v>
      </c>
    </row>
    <row r="217" spans="1:22" x14ac:dyDescent="0.3">
      <c r="A217" s="1" t="s">
        <v>523</v>
      </c>
      <c r="B217" s="1" t="s">
        <v>524</v>
      </c>
      <c r="C217" s="1" t="s">
        <v>54</v>
      </c>
      <c r="E217" s="1" t="s">
        <v>102</v>
      </c>
      <c r="F217" s="1" t="s">
        <v>103</v>
      </c>
      <c r="G217" s="1" t="s">
        <v>123</v>
      </c>
      <c r="H217">
        <v>12</v>
      </c>
      <c r="I217" t="s">
        <v>130</v>
      </c>
      <c r="J217">
        <v>0</v>
      </c>
      <c r="K217" t="b">
        <v>1</v>
      </c>
      <c r="L217">
        <v>0.8</v>
      </c>
      <c r="M217" s="1" t="s">
        <v>51</v>
      </c>
      <c r="N217" s="1" t="s">
        <v>21</v>
      </c>
      <c r="O217">
        <v>8</v>
      </c>
      <c r="P217">
        <v>13</v>
      </c>
      <c r="Q217" t="str">
        <f t="shared" si="16"/>
        <v>DANNY BROWN</v>
      </c>
      <c r="R217" t="str">
        <f t="shared" si="17"/>
        <v>india</v>
      </c>
      <c r="S217" t="str">
        <f>PROPER(global_freelancer_raw[[#This Row],[NAME UPPER]])</f>
        <v>Danny Brown</v>
      </c>
      <c r="T217" t="str">
        <f t="shared" si="18"/>
        <v>In</v>
      </c>
      <c r="U217" t="str">
        <f t="shared" si="15"/>
        <v>y Brow</v>
      </c>
      <c r="V217" t="str">
        <f t="shared" si="19"/>
        <v>16</v>
      </c>
    </row>
    <row r="218" spans="1:22" x14ac:dyDescent="0.3">
      <c r="A218" s="1" t="s">
        <v>525</v>
      </c>
      <c r="B218" s="1" t="s">
        <v>526</v>
      </c>
      <c r="C218" s="1" t="s">
        <v>39</v>
      </c>
      <c r="D218">
        <v>58</v>
      </c>
      <c r="E218" s="1" t="s">
        <v>199</v>
      </c>
      <c r="F218" s="1" t="s">
        <v>81</v>
      </c>
      <c r="G218" s="1" t="s">
        <v>27</v>
      </c>
      <c r="H218">
        <v>4</v>
      </c>
      <c r="I218" t="s">
        <v>71</v>
      </c>
      <c r="J218">
        <v>3.1</v>
      </c>
      <c r="K218">
        <v>0</v>
      </c>
      <c r="L218">
        <v>0.9</v>
      </c>
      <c r="M218" s="1" t="s">
        <v>20</v>
      </c>
      <c r="N218" s="1" t="s">
        <v>36</v>
      </c>
      <c r="O218">
        <v>2</v>
      </c>
      <c r="P218">
        <v>1</v>
      </c>
      <c r="Q218" t="str">
        <f t="shared" si="16"/>
        <v>KAREN LARSEN</v>
      </c>
      <c r="R218" t="str">
        <f t="shared" si="17"/>
        <v>spain</v>
      </c>
      <c r="S218" t="str">
        <f>PROPER(global_freelancer_raw[[#This Row],[NAME UPPER]])</f>
        <v>Karen Larsen</v>
      </c>
      <c r="T218" t="str">
        <f t="shared" si="18"/>
        <v>Sp</v>
      </c>
      <c r="U218" t="str">
        <f t="shared" si="15"/>
        <v>n Lars</v>
      </c>
      <c r="V218" t="str">
        <f t="shared" si="19"/>
        <v>17</v>
      </c>
    </row>
    <row r="219" spans="1:22" x14ac:dyDescent="0.3">
      <c r="A219" s="1" t="s">
        <v>527</v>
      </c>
      <c r="B219" s="1" t="s">
        <v>528</v>
      </c>
      <c r="C219" s="1" t="s">
        <v>101</v>
      </c>
      <c r="D219">
        <v>39</v>
      </c>
      <c r="E219" s="1" t="s">
        <v>121</v>
      </c>
      <c r="F219" s="1" t="s">
        <v>122</v>
      </c>
      <c r="G219" s="1" t="s">
        <v>40</v>
      </c>
      <c r="H219">
        <v>14</v>
      </c>
      <c r="I219" t="s">
        <v>28</v>
      </c>
      <c r="J219">
        <v>0</v>
      </c>
      <c r="K219" t="s">
        <v>83</v>
      </c>
      <c r="L219">
        <v>0.92</v>
      </c>
      <c r="M219" s="1" t="s">
        <v>77</v>
      </c>
      <c r="N219" s="1" t="s">
        <v>29</v>
      </c>
      <c r="O219">
        <v>7</v>
      </c>
      <c r="P219">
        <v>9</v>
      </c>
      <c r="Q219" t="str">
        <f t="shared" si="16"/>
        <v>ROBERT EVANS</v>
      </c>
      <c r="R219" t="str">
        <f t="shared" si="17"/>
        <v>south korea</v>
      </c>
      <c r="S219" t="str">
        <f>PROPER(global_freelancer_raw[[#This Row],[NAME UPPER]])</f>
        <v>Robert Evans</v>
      </c>
      <c r="T219" t="str">
        <f t="shared" si="18"/>
        <v>So</v>
      </c>
      <c r="U219" t="str">
        <f t="shared" si="15"/>
        <v>rt Eva</v>
      </c>
      <c r="V219" t="str">
        <f t="shared" si="19"/>
        <v>18</v>
      </c>
    </row>
    <row r="220" spans="1:22" x14ac:dyDescent="0.3">
      <c r="A220" s="1" t="s">
        <v>529</v>
      </c>
      <c r="B220" s="1" t="s">
        <v>530</v>
      </c>
      <c r="C220" s="1" t="s">
        <v>101</v>
      </c>
      <c r="D220">
        <v>32</v>
      </c>
      <c r="E220" s="1" t="s">
        <v>55</v>
      </c>
      <c r="F220" s="1" t="s">
        <v>56</v>
      </c>
      <c r="G220" s="1" t="s">
        <v>34</v>
      </c>
      <c r="H220">
        <v>14</v>
      </c>
      <c r="K220">
        <v>0</v>
      </c>
      <c r="L220">
        <v>0.96</v>
      </c>
      <c r="M220" s="1" t="s">
        <v>77</v>
      </c>
      <c r="N220" s="1" t="s">
        <v>36</v>
      </c>
      <c r="O220">
        <v>14</v>
      </c>
      <c r="P220">
        <v>3</v>
      </c>
      <c r="Q220" t="str">
        <f t="shared" si="16"/>
        <v>SEAN POOLE</v>
      </c>
      <c r="R220" t="str">
        <f t="shared" si="17"/>
        <v>indonesia</v>
      </c>
      <c r="S220" t="str">
        <f>PROPER(global_freelancer_raw[[#This Row],[NAME UPPER]])</f>
        <v>Sean Poole</v>
      </c>
      <c r="T220" t="str">
        <f t="shared" si="18"/>
        <v>In</v>
      </c>
      <c r="U220" t="str">
        <f t="shared" si="15"/>
        <v xml:space="preserve"> Poole</v>
      </c>
      <c r="V220" t="str">
        <f t="shared" si="19"/>
        <v>19</v>
      </c>
    </row>
    <row r="221" spans="1:22" x14ac:dyDescent="0.3">
      <c r="A221" s="1" t="s">
        <v>531</v>
      </c>
      <c r="B221" s="1" t="s">
        <v>532</v>
      </c>
      <c r="C221" s="1" t="s">
        <v>54</v>
      </c>
      <c r="D221">
        <v>37</v>
      </c>
      <c r="E221" s="1" t="s">
        <v>137</v>
      </c>
      <c r="F221" s="1" t="s">
        <v>26</v>
      </c>
      <c r="G221" s="1" t="s">
        <v>82</v>
      </c>
      <c r="H221">
        <v>2</v>
      </c>
      <c r="I221" t="s">
        <v>50</v>
      </c>
      <c r="J221">
        <v>2.2999999999999998</v>
      </c>
      <c r="K221" t="s">
        <v>76</v>
      </c>
      <c r="M221" s="1" t="s">
        <v>51</v>
      </c>
      <c r="N221" s="1" t="s">
        <v>36</v>
      </c>
      <c r="O221">
        <v>4</v>
      </c>
      <c r="P221">
        <v>4</v>
      </c>
      <c r="Q221" t="str">
        <f t="shared" si="16"/>
        <v>RICHARD QUINN</v>
      </c>
      <c r="R221" t="str">
        <f t="shared" si="17"/>
        <v>canada</v>
      </c>
      <c r="S221" t="str">
        <f>PROPER(global_freelancer_raw[[#This Row],[NAME UPPER]])</f>
        <v>Richard Quinn</v>
      </c>
      <c r="T221" t="str">
        <f t="shared" si="18"/>
        <v>Ca</v>
      </c>
      <c r="U221" t="str">
        <f t="shared" si="15"/>
        <v>ard Qu</v>
      </c>
      <c r="V221" t="str">
        <f t="shared" si="19"/>
        <v>20</v>
      </c>
    </row>
    <row r="222" spans="1:22" x14ac:dyDescent="0.3">
      <c r="A222" s="1" t="s">
        <v>533</v>
      </c>
      <c r="B222" s="1" t="s">
        <v>534</v>
      </c>
      <c r="C222" s="1" t="s">
        <v>24</v>
      </c>
      <c r="D222">
        <v>21</v>
      </c>
      <c r="E222" s="1" t="s">
        <v>184</v>
      </c>
      <c r="F222" s="1" t="s">
        <v>185</v>
      </c>
      <c r="G222" s="1" t="s">
        <v>87</v>
      </c>
      <c r="H222">
        <v>2</v>
      </c>
      <c r="I222">
        <v>100</v>
      </c>
      <c r="J222">
        <v>2.4</v>
      </c>
      <c r="K222" t="s">
        <v>83</v>
      </c>
      <c r="M222" s="1" t="s">
        <v>72</v>
      </c>
      <c r="N222" s="1" t="s">
        <v>36</v>
      </c>
      <c r="O222">
        <v>3</v>
      </c>
      <c r="P222">
        <v>1</v>
      </c>
      <c r="Q222" t="str">
        <f t="shared" si="16"/>
        <v>JENNIFER GONZALEZ</v>
      </c>
      <c r="R222" t="str">
        <f t="shared" si="17"/>
        <v>china</v>
      </c>
      <c r="S222" t="str">
        <f>PROPER(global_freelancer_raw[[#This Row],[NAME UPPER]])</f>
        <v>Jennifer Gonzalez</v>
      </c>
      <c r="T222" t="str">
        <f t="shared" si="18"/>
        <v>Ch</v>
      </c>
      <c r="U222" t="str">
        <f t="shared" si="15"/>
        <v>ifer G</v>
      </c>
      <c r="V222" t="str">
        <f t="shared" si="19"/>
        <v>21</v>
      </c>
    </row>
    <row r="223" spans="1:22" x14ac:dyDescent="0.3">
      <c r="A223" s="1" t="s">
        <v>535</v>
      </c>
      <c r="B223" s="1" t="s">
        <v>536</v>
      </c>
      <c r="C223" s="1" t="s">
        <v>68</v>
      </c>
      <c r="D223">
        <v>41</v>
      </c>
      <c r="E223" s="1" t="s">
        <v>121</v>
      </c>
      <c r="F223" s="1" t="s">
        <v>122</v>
      </c>
      <c r="G223" s="1" t="s">
        <v>123</v>
      </c>
      <c r="H223">
        <v>4</v>
      </c>
      <c r="I223">
        <v>75</v>
      </c>
      <c r="J223">
        <v>2.6</v>
      </c>
      <c r="L223">
        <v>0.85</v>
      </c>
      <c r="M223" s="1" t="s">
        <v>51</v>
      </c>
      <c r="N223" s="1" t="s">
        <v>29</v>
      </c>
      <c r="O223">
        <v>4</v>
      </c>
      <c r="P223">
        <v>1</v>
      </c>
      <c r="Q223" t="str">
        <f t="shared" si="16"/>
        <v>JAMES SKINNER</v>
      </c>
      <c r="R223" t="str">
        <f t="shared" si="17"/>
        <v>south korea</v>
      </c>
      <c r="S223" t="str">
        <f>PROPER(global_freelancer_raw[[#This Row],[NAME UPPER]])</f>
        <v>James Skinner</v>
      </c>
      <c r="T223" t="str">
        <f t="shared" si="18"/>
        <v>So</v>
      </c>
      <c r="U223" t="str">
        <f t="shared" si="15"/>
        <v>s Skin</v>
      </c>
      <c r="V223" t="str">
        <f t="shared" si="19"/>
        <v>22</v>
      </c>
    </row>
    <row r="224" spans="1:22" x14ac:dyDescent="0.3">
      <c r="A224" s="1" t="s">
        <v>537</v>
      </c>
      <c r="B224" s="1" t="s">
        <v>538</v>
      </c>
      <c r="C224" s="1" t="s">
        <v>16</v>
      </c>
      <c r="D224">
        <v>21</v>
      </c>
      <c r="E224" s="1" t="s">
        <v>137</v>
      </c>
      <c r="F224" s="1" t="s">
        <v>26</v>
      </c>
      <c r="G224" s="1" t="s">
        <v>49</v>
      </c>
      <c r="H224">
        <v>0</v>
      </c>
      <c r="I224" t="s">
        <v>61</v>
      </c>
      <c r="J224">
        <v>1.1000000000000001</v>
      </c>
      <c r="K224">
        <v>0</v>
      </c>
      <c r="L224">
        <v>0.79</v>
      </c>
      <c r="M224" s="1" t="s">
        <v>20</v>
      </c>
      <c r="N224" s="1" t="s">
        <v>29</v>
      </c>
      <c r="O224">
        <v>5</v>
      </c>
      <c r="P224">
        <v>2</v>
      </c>
      <c r="Q224" t="str">
        <f t="shared" si="16"/>
        <v>MICHELLE HILL</v>
      </c>
      <c r="R224" t="str">
        <f t="shared" si="17"/>
        <v>canada</v>
      </c>
      <c r="S224" t="str">
        <f>PROPER(global_freelancer_raw[[#This Row],[NAME UPPER]])</f>
        <v>Michelle Hill</v>
      </c>
      <c r="T224" t="str">
        <f t="shared" si="18"/>
        <v>Ca</v>
      </c>
      <c r="U224" t="str">
        <f t="shared" si="15"/>
        <v>elle H</v>
      </c>
      <c r="V224" t="str">
        <f t="shared" si="19"/>
        <v>23</v>
      </c>
    </row>
    <row r="225" spans="1:22" x14ac:dyDescent="0.3">
      <c r="A225" s="1" t="s">
        <v>539</v>
      </c>
      <c r="B225" s="1" t="s">
        <v>540</v>
      </c>
      <c r="C225" s="1" t="s">
        <v>39</v>
      </c>
      <c r="D225">
        <v>58</v>
      </c>
      <c r="E225" s="1" t="s">
        <v>184</v>
      </c>
      <c r="F225" s="1" t="s">
        <v>185</v>
      </c>
      <c r="G225" s="1" t="s">
        <v>123</v>
      </c>
      <c r="H225">
        <v>9</v>
      </c>
      <c r="I225">
        <v>30</v>
      </c>
      <c r="J225">
        <v>0</v>
      </c>
      <c r="K225">
        <v>1</v>
      </c>
      <c r="L225">
        <v>0.65</v>
      </c>
      <c r="M225" s="1" t="s">
        <v>72</v>
      </c>
      <c r="N225" s="1" t="s">
        <v>29</v>
      </c>
      <c r="O225">
        <v>15</v>
      </c>
      <c r="P225">
        <v>6</v>
      </c>
      <c r="Q225" t="str">
        <f t="shared" si="16"/>
        <v>JACQUELINE WILLIAMS</v>
      </c>
      <c r="R225" t="str">
        <f t="shared" si="17"/>
        <v>china</v>
      </c>
      <c r="S225" t="str">
        <f>PROPER(global_freelancer_raw[[#This Row],[NAME UPPER]])</f>
        <v>Jacqueline Williams</v>
      </c>
      <c r="T225" t="str">
        <f t="shared" si="18"/>
        <v>Ch</v>
      </c>
      <c r="U225" t="str">
        <f t="shared" si="15"/>
        <v>ueline</v>
      </c>
      <c r="V225" t="str">
        <f t="shared" si="19"/>
        <v>24</v>
      </c>
    </row>
    <row r="226" spans="1:22" x14ac:dyDescent="0.3">
      <c r="A226" s="1" t="s">
        <v>541</v>
      </c>
      <c r="B226" s="1" t="s">
        <v>542</v>
      </c>
      <c r="C226" s="1" t="s">
        <v>106</v>
      </c>
      <c r="D226">
        <v>60</v>
      </c>
      <c r="E226" s="1" t="s">
        <v>137</v>
      </c>
      <c r="F226" s="1" t="s">
        <v>26</v>
      </c>
      <c r="G226" s="1" t="s">
        <v>123</v>
      </c>
      <c r="H226">
        <v>3</v>
      </c>
      <c r="I226">
        <v>40</v>
      </c>
      <c r="J226">
        <v>4.7</v>
      </c>
      <c r="K226" t="b">
        <v>0</v>
      </c>
      <c r="L226">
        <v>0.63</v>
      </c>
      <c r="M226" s="1" t="s">
        <v>77</v>
      </c>
      <c r="N226" s="1" t="s">
        <v>29</v>
      </c>
      <c r="O226">
        <v>1</v>
      </c>
      <c r="P226">
        <v>5</v>
      </c>
      <c r="Q226" t="str">
        <f t="shared" si="16"/>
        <v>DARRELL JOHNSON</v>
      </c>
      <c r="R226" t="str">
        <f t="shared" si="17"/>
        <v>canada</v>
      </c>
      <c r="S226" t="str">
        <f>PROPER(global_freelancer_raw[[#This Row],[NAME UPPER]])</f>
        <v>Darrell Johnson</v>
      </c>
      <c r="T226" t="str">
        <f t="shared" si="18"/>
        <v>Ca</v>
      </c>
      <c r="U226" t="str">
        <f t="shared" si="15"/>
        <v>ell Jo</v>
      </c>
      <c r="V226" t="str">
        <f t="shared" si="19"/>
        <v>25</v>
      </c>
    </row>
    <row r="227" spans="1:22" x14ac:dyDescent="0.3">
      <c r="A227" s="1" t="s">
        <v>543</v>
      </c>
      <c r="B227" s="1" t="s">
        <v>544</v>
      </c>
      <c r="C227" s="1" t="s">
        <v>101</v>
      </c>
      <c r="D227">
        <v>27</v>
      </c>
      <c r="E227" s="1" t="s">
        <v>162</v>
      </c>
      <c r="F227" s="1" t="s">
        <v>163</v>
      </c>
      <c r="G227" s="1" t="s">
        <v>40</v>
      </c>
      <c r="H227">
        <v>2</v>
      </c>
      <c r="I227" t="s">
        <v>41</v>
      </c>
      <c r="J227">
        <v>1.2</v>
      </c>
      <c r="K227" t="b">
        <v>0</v>
      </c>
      <c r="M227" s="1" t="s">
        <v>72</v>
      </c>
      <c r="N227" s="1" t="s">
        <v>21</v>
      </c>
      <c r="O227">
        <v>1</v>
      </c>
      <c r="P227">
        <v>1</v>
      </c>
      <c r="Q227" t="str">
        <f t="shared" si="16"/>
        <v>RYAN CRAWFORD</v>
      </c>
      <c r="R227" t="str">
        <f t="shared" si="17"/>
        <v>south africa</v>
      </c>
      <c r="S227" t="str">
        <f>PROPER(global_freelancer_raw[[#This Row],[NAME UPPER]])</f>
        <v>Ryan Crawford</v>
      </c>
      <c r="T227" t="str">
        <f t="shared" si="18"/>
        <v>So</v>
      </c>
      <c r="U227" t="str">
        <f t="shared" si="15"/>
        <v xml:space="preserve"> Crawf</v>
      </c>
      <c r="V227" t="str">
        <f t="shared" si="19"/>
        <v>26</v>
      </c>
    </row>
    <row r="228" spans="1:22" x14ac:dyDescent="0.3">
      <c r="A228" s="1" t="s">
        <v>545</v>
      </c>
      <c r="B228" s="1" t="s">
        <v>546</v>
      </c>
      <c r="C228" s="1" t="s">
        <v>16</v>
      </c>
      <c r="D228">
        <v>29</v>
      </c>
      <c r="E228" s="1" t="s">
        <v>33</v>
      </c>
      <c r="F228" s="1" t="s">
        <v>33</v>
      </c>
      <c r="G228" s="1" t="s">
        <v>123</v>
      </c>
      <c r="H228">
        <v>10</v>
      </c>
      <c r="I228" t="s">
        <v>61</v>
      </c>
      <c r="J228">
        <v>1.2</v>
      </c>
      <c r="K228" t="b">
        <v>0</v>
      </c>
      <c r="L228">
        <v>0.78</v>
      </c>
      <c r="M228" s="1" t="s">
        <v>77</v>
      </c>
      <c r="N228" s="1" t="s">
        <v>21</v>
      </c>
      <c r="O228">
        <v>7</v>
      </c>
      <c r="P228">
        <v>6</v>
      </c>
      <c r="Q228" t="str">
        <f t="shared" si="16"/>
        <v>CHELSEA BARBER</v>
      </c>
      <c r="R228" t="str">
        <f t="shared" si="17"/>
        <v>germany</v>
      </c>
      <c r="S228" t="str">
        <f>PROPER(global_freelancer_raw[[#This Row],[NAME UPPER]])</f>
        <v>Chelsea Barber</v>
      </c>
      <c r="T228" t="str">
        <f t="shared" si="18"/>
        <v>Ge</v>
      </c>
      <c r="U228" t="str">
        <f t="shared" si="15"/>
        <v>sea Ba</v>
      </c>
      <c r="V228" t="str">
        <f t="shared" si="19"/>
        <v>27</v>
      </c>
    </row>
    <row r="229" spans="1:22" x14ac:dyDescent="0.3">
      <c r="A229" s="1" t="s">
        <v>547</v>
      </c>
      <c r="B229" s="1" t="s">
        <v>548</v>
      </c>
      <c r="C229" s="1" t="s">
        <v>86</v>
      </c>
      <c r="D229">
        <v>54</v>
      </c>
      <c r="E229" s="1" t="s">
        <v>137</v>
      </c>
      <c r="F229" s="1" t="s">
        <v>26</v>
      </c>
      <c r="G229" s="1" t="s">
        <v>34</v>
      </c>
      <c r="H229">
        <v>33</v>
      </c>
      <c r="I229" t="s">
        <v>179</v>
      </c>
      <c r="J229">
        <v>0</v>
      </c>
      <c r="K229">
        <v>1</v>
      </c>
      <c r="L229">
        <v>0.62</v>
      </c>
      <c r="M229" s="1" t="s">
        <v>72</v>
      </c>
      <c r="N229" s="1" t="s">
        <v>65</v>
      </c>
      <c r="O229">
        <v>18</v>
      </c>
      <c r="P229">
        <v>9</v>
      </c>
      <c r="Q229" t="str">
        <f t="shared" si="16"/>
        <v>ELAINE MARTINEZ</v>
      </c>
      <c r="R229" t="str">
        <f t="shared" si="17"/>
        <v>canada</v>
      </c>
      <c r="S229" t="str">
        <f>PROPER(global_freelancer_raw[[#This Row],[NAME UPPER]])</f>
        <v>Elaine Martinez</v>
      </c>
      <c r="T229" t="str">
        <f t="shared" si="18"/>
        <v>Ca</v>
      </c>
      <c r="U229" t="str">
        <f t="shared" si="15"/>
        <v>ne Mar</v>
      </c>
      <c r="V229" t="str">
        <f t="shared" si="19"/>
        <v>28</v>
      </c>
    </row>
    <row r="230" spans="1:22" x14ac:dyDescent="0.3">
      <c r="A230" s="1" t="s">
        <v>549</v>
      </c>
      <c r="B230" s="1" t="s">
        <v>550</v>
      </c>
      <c r="C230" s="1" t="s">
        <v>101</v>
      </c>
      <c r="D230">
        <v>52</v>
      </c>
      <c r="E230" s="1" t="s">
        <v>188</v>
      </c>
      <c r="F230" s="1" t="s">
        <v>81</v>
      </c>
      <c r="G230" s="1" t="s">
        <v>123</v>
      </c>
      <c r="H230">
        <v>12</v>
      </c>
      <c r="I230">
        <v>40</v>
      </c>
      <c r="J230">
        <v>1.2</v>
      </c>
      <c r="K230">
        <v>0</v>
      </c>
      <c r="L230">
        <v>0.76</v>
      </c>
      <c r="M230" s="1" t="s">
        <v>72</v>
      </c>
      <c r="N230" s="1" t="s">
        <v>29</v>
      </c>
      <c r="O230">
        <v>14</v>
      </c>
      <c r="P230">
        <v>3</v>
      </c>
      <c r="Q230" t="str">
        <f t="shared" si="16"/>
        <v>JOSEPH KENT</v>
      </c>
      <c r="R230" t="str">
        <f t="shared" si="17"/>
        <v>mexico</v>
      </c>
      <c r="S230" t="str">
        <f>PROPER(global_freelancer_raw[[#This Row],[NAME UPPER]])</f>
        <v>Joseph Kent</v>
      </c>
      <c r="T230" t="str">
        <f t="shared" si="18"/>
        <v>Me</v>
      </c>
      <c r="U230" t="str">
        <f t="shared" si="15"/>
        <v>ph Ken</v>
      </c>
      <c r="V230" t="str">
        <f t="shared" si="19"/>
        <v>29</v>
      </c>
    </row>
    <row r="231" spans="1:22" x14ac:dyDescent="0.3">
      <c r="A231" s="1" t="s">
        <v>551</v>
      </c>
      <c r="B231" s="1" t="s">
        <v>552</v>
      </c>
      <c r="C231" s="1" t="s">
        <v>24</v>
      </c>
      <c r="D231">
        <v>55</v>
      </c>
      <c r="E231" s="1" t="s">
        <v>55</v>
      </c>
      <c r="F231" s="1" t="s">
        <v>56</v>
      </c>
      <c r="G231" s="1" t="s">
        <v>19</v>
      </c>
      <c r="H231">
        <v>18</v>
      </c>
      <c r="I231">
        <v>100</v>
      </c>
      <c r="J231">
        <v>2.9</v>
      </c>
      <c r="K231">
        <v>0</v>
      </c>
      <c r="L231">
        <v>97</v>
      </c>
      <c r="M231" s="1" t="s">
        <v>72</v>
      </c>
      <c r="N231" s="1" t="s">
        <v>21</v>
      </c>
      <c r="O231">
        <v>12</v>
      </c>
      <c r="P231">
        <v>9</v>
      </c>
      <c r="Q231" t="str">
        <f t="shared" si="16"/>
        <v>MEGAN WELCH</v>
      </c>
      <c r="R231" t="str">
        <f t="shared" si="17"/>
        <v>indonesia</v>
      </c>
      <c r="S231" t="str">
        <f>PROPER(global_freelancer_raw[[#This Row],[NAME UPPER]])</f>
        <v>Megan Welch</v>
      </c>
      <c r="T231" t="str">
        <f t="shared" si="18"/>
        <v>In</v>
      </c>
      <c r="U231" t="str">
        <f t="shared" si="15"/>
        <v>n Welc</v>
      </c>
      <c r="V231" t="str">
        <f t="shared" si="19"/>
        <v>30</v>
      </c>
    </row>
    <row r="232" spans="1:22" x14ac:dyDescent="0.3">
      <c r="A232" s="1" t="s">
        <v>553</v>
      </c>
      <c r="B232" s="1" t="s">
        <v>554</v>
      </c>
      <c r="C232" s="1" t="s">
        <v>32</v>
      </c>
      <c r="D232">
        <v>37</v>
      </c>
      <c r="E232" s="1" t="s">
        <v>116</v>
      </c>
      <c r="F232" s="1" t="s">
        <v>117</v>
      </c>
      <c r="G232" s="1" t="s">
        <v>19</v>
      </c>
      <c r="H232">
        <v>4</v>
      </c>
      <c r="K232" t="s">
        <v>35</v>
      </c>
      <c r="M232" s="1" t="s">
        <v>20</v>
      </c>
      <c r="N232" s="1" t="s">
        <v>36</v>
      </c>
      <c r="O232">
        <v>3</v>
      </c>
      <c r="P232">
        <v>2</v>
      </c>
      <c r="Q232" t="str">
        <f t="shared" si="16"/>
        <v>STEPHEN RAMIREZ</v>
      </c>
      <c r="R232" t="str">
        <f t="shared" si="17"/>
        <v>brazil</v>
      </c>
      <c r="S232" t="str">
        <f>PROPER(global_freelancer_raw[[#This Row],[NAME UPPER]])</f>
        <v>Stephen Ramirez</v>
      </c>
      <c r="T232" t="str">
        <f t="shared" si="18"/>
        <v>Br</v>
      </c>
      <c r="U232" t="str">
        <f t="shared" si="15"/>
        <v>hen Ra</v>
      </c>
      <c r="V232" t="str">
        <f t="shared" si="19"/>
        <v>31</v>
      </c>
    </row>
    <row r="233" spans="1:22" x14ac:dyDescent="0.3">
      <c r="A233" s="1" t="s">
        <v>555</v>
      </c>
      <c r="B233" s="1" t="s">
        <v>556</v>
      </c>
      <c r="C233" s="1" t="s">
        <v>16</v>
      </c>
      <c r="D233">
        <v>34</v>
      </c>
      <c r="E233" s="1" t="s">
        <v>148</v>
      </c>
      <c r="F233" s="1" t="s">
        <v>149</v>
      </c>
      <c r="G233" s="1" t="s">
        <v>57</v>
      </c>
      <c r="H233">
        <v>11</v>
      </c>
      <c r="I233" t="s">
        <v>71</v>
      </c>
      <c r="J233">
        <v>3.9</v>
      </c>
      <c r="K233">
        <v>1</v>
      </c>
      <c r="L233">
        <v>0.82</v>
      </c>
      <c r="M233" s="1" t="s">
        <v>20</v>
      </c>
      <c r="N233" s="1" t="s">
        <v>29</v>
      </c>
      <c r="O233">
        <v>13</v>
      </c>
      <c r="P233">
        <v>2</v>
      </c>
      <c r="Q233" t="str">
        <f t="shared" si="16"/>
        <v>CHLOE GRAY</v>
      </c>
      <c r="R233" t="str">
        <f t="shared" si="17"/>
        <v>egypt</v>
      </c>
      <c r="S233" t="str">
        <f>PROPER(global_freelancer_raw[[#This Row],[NAME UPPER]])</f>
        <v>Chloe Gray</v>
      </c>
      <c r="T233" t="str">
        <f t="shared" si="18"/>
        <v>Eg</v>
      </c>
      <c r="U233" t="str">
        <f t="shared" si="15"/>
        <v>e Gray</v>
      </c>
      <c r="V233" t="str">
        <f t="shared" si="19"/>
        <v>32</v>
      </c>
    </row>
    <row r="234" spans="1:22" x14ac:dyDescent="0.3">
      <c r="A234" s="1" t="s">
        <v>557</v>
      </c>
      <c r="B234" s="1" t="s">
        <v>558</v>
      </c>
      <c r="C234" s="1" t="s">
        <v>54</v>
      </c>
      <c r="D234">
        <v>20</v>
      </c>
      <c r="E234" s="1" t="s">
        <v>144</v>
      </c>
      <c r="F234" s="1" t="s">
        <v>145</v>
      </c>
      <c r="G234" s="1" t="s">
        <v>57</v>
      </c>
      <c r="H234">
        <v>1</v>
      </c>
      <c r="I234">
        <v>50</v>
      </c>
      <c r="J234">
        <v>3.1</v>
      </c>
      <c r="L234">
        <v>0.71</v>
      </c>
      <c r="M234" s="1" t="s">
        <v>51</v>
      </c>
      <c r="N234" s="1" t="s">
        <v>65</v>
      </c>
      <c r="O234">
        <v>4</v>
      </c>
      <c r="P234">
        <v>3</v>
      </c>
      <c r="Q234" t="str">
        <f t="shared" si="16"/>
        <v>MICHAEL WILLIAMS JR.</v>
      </c>
      <c r="R234" t="str">
        <f t="shared" si="17"/>
        <v>france</v>
      </c>
      <c r="S234" t="str">
        <f>PROPER(global_freelancer_raw[[#This Row],[NAME UPPER]])</f>
        <v>Michael Williams Jr.</v>
      </c>
      <c r="T234" t="str">
        <f t="shared" si="18"/>
        <v>Fr</v>
      </c>
      <c r="U234" t="str">
        <f t="shared" si="15"/>
        <v>ael Wi</v>
      </c>
      <c r="V234" t="str">
        <f t="shared" si="19"/>
        <v>33</v>
      </c>
    </row>
    <row r="235" spans="1:22" x14ac:dyDescent="0.3">
      <c r="A235" s="1" t="s">
        <v>559</v>
      </c>
      <c r="B235" s="1" t="s">
        <v>560</v>
      </c>
      <c r="C235" s="1" t="s">
        <v>54</v>
      </c>
      <c r="D235">
        <v>22</v>
      </c>
      <c r="E235" s="1" t="s">
        <v>188</v>
      </c>
      <c r="F235" s="1" t="s">
        <v>81</v>
      </c>
      <c r="G235" s="1" t="s">
        <v>82</v>
      </c>
      <c r="H235">
        <v>2</v>
      </c>
      <c r="J235">
        <v>0</v>
      </c>
      <c r="K235">
        <v>1</v>
      </c>
      <c r="M235" s="1" t="s">
        <v>51</v>
      </c>
      <c r="N235" s="1" t="s">
        <v>65</v>
      </c>
      <c r="O235">
        <v>5</v>
      </c>
      <c r="P235">
        <v>1</v>
      </c>
      <c r="Q235" t="str">
        <f t="shared" si="16"/>
        <v>MATTHEW MARTIN</v>
      </c>
      <c r="R235" t="str">
        <f t="shared" si="17"/>
        <v>mexico</v>
      </c>
      <c r="S235" t="str">
        <f>PROPER(global_freelancer_raw[[#This Row],[NAME UPPER]])</f>
        <v>Matthew Martin</v>
      </c>
      <c r="T235" t="str">
        <f t="shared" si="18"/>
        <v>Me</v>
      </c>
      <c r="U235" t="str">
        <f t="shared" si="15"/>
        <v>hew Ma</v>
      </c>
      <c r="V235" t="str">
        <f t="shared" si="19"/>
        <v>34</v>
      </c>
    </row>
    <row r="236" spans="1:22" x14ac:dyDescent="0.3">
      <c r="A236" s="1" t="s">
        <v>561</v>
      </c>
      <c r="B236" s="1" t="s">
        <v>562</v>
      </c>
      <c r="C236" s="1" t="s">
        <v>16</v>
      </c>
      <c r="D236">
        <v>23</v>
      </c>
      <c r="E236" s="1" t="s">
        <v>121</v>
      </c>
      <c r="F236" s="1" t="s">
        <v>122</v>
      </c>
      <c r="G236" s="1" t="s">
        <v>34</v>
      </c>
      <c r="H236">
        <v>2</v>
      </c>
      <c r="I236">
        <v>50</v>
      </c>
      <c r="J236">
        <v>3.2</v>
      </c>
      <c r="K236" t="b">
        <v>1</v>
      </c>
      <c r="M236" s="1" t="s">
        <v>77</v>
      </c>
      <c r="N236" s="1" t="s">
        <v>65</v>
      </c>
      <c r="O236">
        <v>2</v>
      </c>
      <c r="P236">
        <v>1</v>
      </c>
      <c r="Q236" t="str">
        <f t="shared" si="16"/>
        <v>JULIA MURPHY</v>
      </c>
      <c r="R236" t="str">
        <f t="shared" si="17"/>
        <v>south korea</v>
      </c>
      <c r="S236" t="str">
        <f>PROPER(global_freelancer_raw[[#This Row],[NAME UPPER]])</f>
        <v>Julia Murphy</v>
      </c>
      <c r="T236" t="str">
        <f t="shared" si="18"/>
        <v>So</v>
      </c>
      <c r="U236" t="str">
        <f t="shared" si="15"/>
        <v>a Murp</v>
      </c>
      <c r="V236" t="str">
        <f t="shared" si="19"/>
        <v>35</v>
      </c>
    </row>
    <row r="237" spans="1:22" x14ac:dyDescent="0.3">
      <c r="A237" s="1" t="s">
        <v>563</v>
      </c>
      <c r="B237" s="1" t="s">
        <v>564</v>
      </c>
      <c r="C237" s="1" t="s">
        <v>39</v>
      </c>
      <c r="D237">
        <v>53</v>
      </c>
      <c r="E237" s="1" t="s">
        <v>121</v>
      </c>
      <c r="F237" s="1" t="s">
        <v>122</v>
      </c>
      <c r="G237" s="1" t="s">
        <v>19</v>
      </c>
      <c r="H237">
        <v>34</v>
      </c>
      <c r="I237">
        <v>30</v>
      </c>
      <c r="K237" t="s">
        <v>83</v>
      </c>
      <c r="M237" s="1" t="s">
        <v>20</v>
      </c>
      <c r="N237" s="1" t="s">
        <v>36</v>
      </c>
      <c r="O237">
        <v>14</v>
      </c>
      <c r="P237">
        <v>9</v>
      </c>
      <c r="Q237" t="str">
        <f t="shared" si="16"/>
        <v>ANNA EVANS</v>
      </c>
      <c r="R237" t="str">
        <f t="shared" si="17"/>
        <v>south korea</v>
      </c>
      <c r="S237" t="str">
        <f>PROPER(global_freelancer_raw[[#This Row],[NAME UPPER]])</f>
        <v>Anna Evans</v>
      </c>
      <c r="T237" t="str">
        <f t="shared" si="18"/>
        <v>So</v>
      </c>
      <c r="U237" t="str">
        <f t="shared" si="15"/>
        <v xml:space="preserve"> Evans</v>
      </c>
      <c r="V237" t="str">
        <f t="shared" si="19"/>
        <v>36</v>
      </c>
    </row>
    <row r="238" spans="1:22" x14ac:dyDescent="0.3">
      <c r="A238" s="1" t="s">
        <v>565</v>
      </c>
      <c r="B238" s="1" t="s">
        <v>566</v>
      </c>
      <c r="C238" s="1" t="s">
        <v>39</v>
      </c>
      <c r="D238">
        <v>56</v>
      </c>
      <c r="E238" s="1" t="s">
        <v>121</v>
      </c>
      <c r="F238" s="1" t="s">
        <v>122</v>
      </c>
      <c r="G238" s="1" t="s">
        <v>34</v>
      </c>
      <c r="H238">
        <v>27</v>
      </c>
      <c r="I238">
        <v>100</v>
      </c>
      <c r="J238">
        <v>4.7</v>
      </c>
      <c r="K238" t="b">
        <v>1</v>
      </c>
      <c r="L238">
        <v>0.69</v>
      </c>
      <c r="M238" s="1" t="s">
        <v>77</v>
      </c>
      <c r="N238" s="1" t="s">
        <v>21</v>
      </c>
      <c r="O238">
        <v>19</v>
      </c>
      <c r="P238">
        <v>7</v>
      </c>
      <c r="Q238" t="str">
        <f t="shared" si="16"/>
        <v>BRENDA FLEMING</v>
      </c>
      <c r="R238" t="str">
        <f t="shared" si="17"/>
        <v>south korea</v>
      </c>
      <c r="S238" t="str">
        <f>PROPER(global_freelancer_raw[[#This Row],[NAME UPPER]])</f>
        <v>Brenda Fleming</v>
      </c>
      <c r="T238" t="str">
        <f t="shared" si="18"/>
        <v>So</v>
      </c>
      <c r="U238" t="str">
        <f t="shared" si="15"/>
        <v>da Fle</v>
      </c>
      <c r="V238" t="str">
        <f t="shared" si="19"/>
        <v>37</v>
      </c>
    </row>
    <row r="239" spans="1:22" x14ac:dyDescent="0.3">
      <c r="A239" s="1" t="s">
        <v>567</v>
      </c>
      <c r="B239" s="1" t="s">
        <v>568</v>
      </c>
      <c r="C239" s="1" t="s">
        <v>101</v>
      </c>
      <c r="D239">
        <v>27</v>
      </c>
      <c r="E239" s="1" t="s">
        <v>137</v>
      </c>
      <c r="F239" s="1" t="s">
        <v>26</v>
      </c>
      <c r="G239" s="1" t="s">
        <v>49</v>
      </c>
      <c r="H239">
        <v>4</v>
      </c>
      <c r="I239">
        <v>75</v>
      </c>
      <c r="J239">
        <v>5</v>
      </c>
      <c r="K239">
        <v>0</v>
      </c>
      <c r="L239">
        <v>0.88</v>
      </c>
      <c r="M239" s="1" t="s">
        <v>51</v>
      </c>
      <c r="N239" s="1" t="s">
        <v>36</v>
      </c>
      <c r="O239">
        <v>5</v>
      </c>
      <c r="P239">
        <v>1</v>
      </c>
      <c r="Q239" t="str">
        <f t="shared" si="16"/>
        <v>DANIEL HARRINGTON</v>
      </c>
      <c r="R239" t="str">
        <f t="shared" si="17"/>
        <v>canada</v>
      </c>
      <c r="S239" t="str">
        <f>PROPER(global_freelancer_raw[[#This Row],[NAME UPPER]])</f>
        <v>Daniel Harrington</v>
      </c>
      <c r="T239" t="str">
        <f t="shared" si="18"/>
        <v>Ca</v>
      </c>
      <c r="U239" t="str">
        <f t="shared" si="15"/>
        <v>el Har</v>
      </c>
      <c r="V239" t="str">
        <f t="shared" si="19"/>
        <v>38</v>
      </c>
    </row>
    <row r="240" spans="1:22" x14ac:dyDescent="0.3">
      <c r="A240" s="1" t="s">
        <v>569</v>
      </c>
      <c r="B240" s="1" t="s">
        <v>570</v>
      </c>
      <c r="C240" s="1" t="s">
        <v>106</v>
      </c>
      <c r="D240">
        <v>34</v>
      </c>
      <c r="E240" s="1" t="s">
        <v>17</v>
      </c>
      <c r="F240" s="1" t="s">
        <v>18</v>
      </c>
      <c r="G240" s="1" t="s">
        <v>27</v>
      </c>
      <c r="H240">
        <v>11</v>
      </c>
      <c r="I240" t="s">
        <v>61</v>
      </c>
      <c r="K240" t="b">
        <v>0</v>
      </c>
      <c r="L240">
        <v>0.67</v>
      </c>
      <c r="M240" s="1" t="s">
        <v>77</v>
      </c>
      <c r="N240" s="1" t="s">
        <v>29</v>
      </c>
      <c r="O240">
        <v>13</v>
      </c>
      <c r="P240">
        <v>9</v>
      </c>
      <c r="Q240" t="str">
        <f t="shared" si="16"/>
        <v>DANIEL BARNETT</v>
      </c>
      <c r="R240" t="str">
        <f t="shared" si="17"/>
        <v>italy</v>
      </c>
      <c r="S240" t="str">
        <f>PROPER(global_freelancer_raw[[#This Row],[NAME UPPER]])</f>
        <v>Daniel Barnett</v>
      </c>
      <c r="T240" t="str">
        <f t="shared" si="18"/>
        <v>It</v>
      </c>
      <c r="U240" t="str">
        <f t="shared" si="15"/>
        <v>el Bar</v>
      </c>
      <c r="V240" t="str">
        <f t="shared" si="19"/>
        <v>39</v>
      </c>
    </row>
    <row r="241" spans="1:22" x14ac:dyDescent="0.3">
      <c r="A241" s="1" t="s">
        <v>571</v>
      </c>
      <c r="B241" s="1" t="s">
        <v>572</v>
      </c>
      <c r="C241" s="1" t="s">
        <v>101</v>
      </c>
      <c r="D241">
        <v>29</v>
      </c>
      <c r="E241" s="1" t="s">
        <v>64</v>
      </c>
      <c r="F241" s="1" t="s">
        <v>26</v>
      </c>
      <c r="G241" s="1" t="s">
        <v>40</v>
      </c>
      <c r="H241">
        <v>4</v>
      </c>
      <c r="I241" t="s">
        <v>107</v>
      </c>
      <c r="J241">
        <v>4</v>
      </c>
      <c r="K241">
        <v>0</v>
      </c>
      <c r="M241" s="1" t="s">
        <v>51</v>
      </c>
      <c r="N241" s="1" t="s">
        <v>65</v>
      </c>
      <c r="O241">
        <v>3</v>
      </c>
      <c r="P241">
        <v>2</v>
      </c>
      <c r="Q241" t="str">
        <f t="shared" si="16"/>
        <v>MARK CUMMINGS</v>
      </c>
      <c r="R241" t="str">
        <f t="shared" si="17"/>
        <v>us</v>
      </c>
      <c r="S241" t="str">
        <f>PROPER(global_freelancer_raw[[#This Row],[NAME UPPER]])</f>
        <v>Mark Cummings</v>
      </c>
      <c r="T241" t="str">
        <f t="shared" si="18"/>
        <v>US</v>
      </c>
      <c r="U241" t="str">
        <f t="shared" si="15"/>
        <v xml:space="preserve"> Cummi</v>
      </c>
      <c r="V241" t="str">
        <f t="shared" si="19"/>
        <v>40</v>
      </c>
    </row>
    <row r="242" spans="1:22" x14ac:dyDescent="0.3">
      <c r="A242" s="1" t="s">
        <v>573</v>
      </c>
      <c r="B242" s="1" t="s">
        <v>574</v>
      </c>
      <c r="C242" s="1" t="s">
        <v>101</v>
      </c>
      <c r="D242">
        <v>34</v>
      </c>
      <c r="E242" s="1" t="s">
        <v>102</v>
      </c>
      <c r="F242" s="1" t="s">
        <v>103</v>
      </c>
      <c r="G242" s="1" t="s">
        <v>49</v>
      </c>
      <c r="H242">
        <v>11</v>
      </c>
      <c r="J242">
        <v>1.2</v>
      </c>
      <c r="K242">
        <v>1</v>
      </c>
      <c r="M242" s="1" t="s">
        <v>20</v>
      </c>
      <c r="N242" s="1" t="s">
        <v>36</v>
      </c>
      <c r="O242">
        <v>11</v>
      </c>
      <c r="P242">
        <v>4</v>
      </c>
      <c r="Q242" t="str">
        <f t="shared" si="16"/>
        <v>CHRISTOPHER GUERRA</v>
      </c>
      <c r="R242" t="str">
        <f t="shared" si="17"/>
        <v>india</v>
      </c>
      <c r="S242" t="str">
        <f>PROPER(global_freelancer_raw[[#This Row],[NAME UPPER]])</f>
        <v>Christopher Guerra</v>
      </c>
      <c r="T242" t="str">
        <f t="shared" si="18"/>
        <v>In</v>
      </c>
      <c r="U242" t="str">
        <f t="shared" si="15"/>
        <v>stophe</v>
      </c>
      <c r="V242" t="str">
        <f t="shared" si="19"/>
        <v>41</v>
      </c>
    </row>
    <row r="243" spans="1:22" x14ac:dyDescent="0.3">
      <c r="A243" s="1" t="s">
        <v>575</v>
      </c>
      <c r="B243" s="1" t="s">
        <v>576</v>
      </c>
      <c r="C243" s="1" t="s">
        <v>44</v>
      </c>
      <c r="D243">
        <v>32</v>
      </c>
      <c r="E243" s="1" t="s">
        <v>188</v>
      </c>
      <c r="F243" s="1" t="s">
        <v>81</v>
      </c>
      <c r="G243" s="1" t="s">
        <v>49</v>
      </c>
      <c r="H243">
        <v>1</v>
      </c>
      <c r="I243">
        <v>100</v>
      </c>
      <c r="J243">
        <v>4.7</v>
      </c>
      <c r="K243">
        <v>0</v>
      </c>
      <c r="L243">
        <v>0.67</v>
      </c>
      <c r="M243" s="1" t="s">
        <v>72</v>
      </c>
      <c r="N243" s="1" t="s">
        <v>36</v>
      </c>
      <c r="O243">
        <v>5</v>
      </c>
      <c r="P243">
        <v>1</v>
      </c>
      <c r="Q243" t="str">
        <f t="shared" si="16"/>
        <v>SARAH HO</v>
      </c>
      <c r="R243" t="str">
        <f t="shared" si="17"/>
        <v>mexico</v>
      </c>
      <c r="S243" t="str">
        <f>PROPER(global_freelancer_raw[[#This Row],[NAME UPPER]])</f>
        <v>Sarah Ho</v>
      </c>
      <c r="T243" t="str">
        <f t="shared" si="18"/>
        <v>Me</v>
      </c>
      <c r="U243" t="str">
        <f t="shared" si="15"/>
        <v>h Ho</v>
      </c>
      <c r="V243" t="str">
        <f t="shared" si="19"/>
        <v>42</v>
      </c>
    </row>
    <row r="244" spans="1:22" x14ac:dyDescent="0.3">
      <c r="A244" s="1" t="s">
        <v>577</v>
      </c>
      <c r="B244" s="1" t="s">
        <v>578</v>
      </c>
      <c r="C244" s="1" t="s">
        <v>16</v>
      </c>
      <c r="D244">
        <v>21</v>
      </c>
      <c r="E244" s="1" t="s">
        <v>162</v>
      </c>
      <c r="F244" s="1" t="s">
        <v>163</v>
      </c>
      <c r="G244" s="1" t="s">
        <v>123</v>
      </c>
      <c r="H244">
        <v>2</v>
      </c>
      <c r="I244">
        <v>20</v>
      </c>
      <c r="J244">
        <v>2.4</v>
      </c>
      <c r="L244">
        <v>0.86</v>
      </c>
      <c r="M244" s="1" t="s">
        <v>20</v>
      </c>
      <c r="N244" s="1" t="s">
        <v>21</v>
      </c>
      <c r="O244">
        <v>4</v>
      </c>
      <c r="P244">
        <v>2</v>
      </c>
      <c r="Q244" t="str">
        <f t="shared" si="16"/>
        <v>VERONICA THOMAS</v>
      </c>
      <c r="R244" t="str">
        <f t="shared" si="17"/>
        <v>south africa</v>
      </c>
      <c r="S244" t="str">
        <f>PROPER(global_freelancer_raw[[#This Row],[NAME UPPER]])</f>
        <v>Veronica Thomas</v>
      </c>
      <c r="T244" t="str">
        <f t="shared" si="18"/>
        <v>So</v>
      </c>
      <c r="U244" t="str">
        <f t="shared" si="15"/>
        <v>nica T</v>
      </c>
      <c r="V244" t="str">
        <f t="shared" si="19"/>
        <v>43</v>
      </c>
    </row>
    <row r="245" spans="1:22" x14ac:dyDescent="0.3">
      <c r="A245" s="1" t="s">
        <v>579</v>
      </c>
      <c r="B245" s="1" t="s">
        <v>580</v>
      </c>
      <c r="C245" s="1" t="s">
        <v>68</v>
      </c>
      <c r="D245">
        <v>20</v>
      </c>
      <c r="E245" s="1" t="s">
        <v>188</v>
      </c>
      <c r="F245" s="1" t="s">
        <v>81</v>
      </c>
      <c r="G245" s="1" t="s">
        <v>34</v>
      </c>
      <c r="H245">
        <v>2</v>
      </c>
      <c r="J245">
        <v>1.1000000000000001</v>
      </c>
      <c r="K245" t="b">
        <v>0</v>
      </c>
      <c r="L245">
        <v>0.69</v>
      </c>
      <c r="M245" s="1" t="s">
        <v>77</v>
      </c>
      <c r="N245" s="1" t="s">
        <v>21</v>
      </c>
      <c r="O245">
        <v>3</v>
      </c>
      <c r="P245">
        <v>1</v>
      </c>
      <c r="Q245" t="str">
        <f t="shared" si="16"/>
        <v>MITCHELL WATSON</v>
      </c>
      <c r="R245" t="str">
        <f t="shared" si="17"/>
        <v>mexico</v>
      </c>
      <c r="S245" t="str">
        <f>PROPER(global_freelancer_raw[[#This Row],[NAME UPPER]])</f>
        <v>Mitchell Watson</v>
      </c>
      <c r="T245" t="str">
        <f t="shared" si="18"/>
        <v>Me</v>
      </c>
      <c r="U245" t="str">
        <f t="shared" si="15"/>
        <v>hell W</v>
      </c>
      <c r="V245" t="str">
        <f t="shared" si="19"/>
        <v>44</v>
      </c>
    </row>
    <row r="246" spans="1:22" x14ac:dyDescent="0.3">
      <c r="A246" s="1" t="s">
        <v>581</v>
      </c>
      <c r="B246" s="1" t="s">
        <v>582</v>
      </c>
      <c r="C246" s="1" t="s">
        <v>24</v>
      </c>
      <c r="D246">
        <v>35</v>
      </c>
      <c r="E246" s="1" t="s">
        <v>64</v>
      </c>
      <c r="F246" s="1" t="s">
        <v>26</v>
      </c>
      <c r="G246" s="1" t="s">
        <v>27</v>
      </c>
      <c r="H246">
        <v>10</v>
      </c>
      <c r="I246">
        <v>50</v>
      </c>
      <c r="J246">
        <v>1.4</v>
      </c>
      <c r="K246" t="b">
        <v>1</v>
      </c>
      <c r="L246">
        <v>0.85</v>
      </c>
      <c r="M246" s="1" t="s">
        <v>77</v>
      </c>
      <c r="N246" s="1" t="s">
        <v>65</v>
      </c>
      <c r="O246">
        <v>8</v>
      </c>
      <c r="P246">
        <v>4</v>
      </c>
      <c r="Q246" t="str">
        <f t="shared" si="16"/>
        <v>MONICA MURPHY</v>
      </c>
      <c r="R246" t="str">
        <f t="shared" si="17"/>
        <v>us</v>
      </c>
      <c r="S246" t="str">
        <f>PROPER(global_freelancer_raw[[#This Row],[NAME UPPER]])</f>
        <v>Monica Murphy</v>
      </c>
      <c r="T246" t="str">
        <f t="shared" si="18"/>
        <v>US</v>
      </c>
      <c r="U246" t="str">
        <f t="shared" si="15"/>
        <v>ca Mur</v>
      </c>
      <c r="V246" t="str">
        <f t="shared" si="19"/>
        <v>45</v>
      </c>
    </row>
    <row r="247" spans="1:22" x14ac:dyDescent="0.3">
      <c r="A247" s="1" t="s">
        <v>583</v>
      </c>
      <c r="B247" s="1" t="s">
        <v>584</v>
      </c>
      <c r="C247" s="1" t="s">
        <v>16</v>
      </c>
      <c r="D247">
        <v>47</v>
      </c>
      <c r="E247" s="1" t="s">
        <v>64</v>
      </c>
      <c r="F247" s="1" t="s">
        <v>26</v>
      </c>
      <c r="G247" s="1" t="s">
        <v>82</v>
      </c>
      <c r="H247">
        <v>18</v>
      </c>
      <c r="I247">
        <v>40</v>
      </c>
      <c r="J247">
        <v>3.4</v>
      </c>
      <c r="K247">
        <v>0</v>
      </c>
      <c r="L247">
        <v>60</v>
      </c>
      <c r="M247" s="1" t="s">
        <v>20</v>
      </c>
      <c r="N247" s="1" t="s">
        <v>36</v>
      </c>
      <c r="O247">
        <v>11</v>
      </c>
      <c r="P247">
        <v>10</v>
      </c>
      <c r="Q247" t="str">
        <f t="shared" si="16"/>
        <v>KRISTEN WILLIAMS</v>
      </c>
      <c r="R247" t="str">
        <f t="shared" si="17"/>
        <v>us</v>
      </c>
      <c r="S247" t="str">
        <f>PROPER(global_freelancer_raw[[#This Row],[NAME UPPER]])</f>
        <v>Kristen Williams</v>
      </c>
      <c r="T247" t="str">
        <f t="shared" si="18"/>
        <v>US</v>
      </c>
      <c r="U247" t="str">
        <f t="shared" si="15"/>
        <v>ten Wi</v>
      </c>
      <c r="V247" t="str">
        <f t="shared" si="19"/>
        <v>46</v>
      </c>
    </row>
    <row r="248" spans="1:22" x14ac:dyDescent="0.3">
      <c r="A248" s="1" t="s">
        <v>585</v>
      </c>
      <c r="B248" s="1" t="s">
        <v>586</v>
      </c>
      <c r="C248" s="1" t="s">
        <v>16</v>
      </c>
      <c r="D248">
        <v>41</v>
      </c>
      <c r="E248" s="1" t="s">
        <v>69</v>
      </c>
      <c r="F248" s="1" t="s">
        <v>70</v>
      </c>
      <c r="G248" s="1" t="s">
        <v>19</v>
      </c>
      <c r="H248">
        <v>4</v>
      </c>
      <c r="I248">
        <v>40</v>
      </c>
      <c r="J248">
        <v>2.7</v>
      </c>
      <c r="K248">
        <v>1</v>
      </c>
      <c r="L248">
        <v>70</v>
      </c>
      <c r="M248" s="1" t="s">
        <v>20</v>
      </c>
      <c r="N248" s="1" t="s">
        <v>36</v>
      </c>
      <c r="O248">
        <v>2</v>
      </c>
      <c r="P248">
        <v>2</v>
      </c>
      <c r="Q248" t="str">
        <f t="shared" si="16"/>
        <v>NICOLE WRIGHT</v>
      </c>
      <c r="R248" t="str">
        <f t="shared" si="17"/>
        <v>turkey</v>
      </c>
      <c r="S248" t="str">
        <f>PROPER(global_freelancer_raw[[#This Row],[NAME UPPER]])</f>
        <v>Nicole Wright</v>
      </c>
      <c r="T248" t="str">
        <f t="shared" si="18"/>
        <v>Tu</v>
      </c>
      <c r="U248" t="str">
        <f t="shared" si="15"/>
        <v>le Wri</v>
      </c>
      <c r="V248" t="str">
        <f t="shared" si="19"/>
        <v>47</v>
      </c>
    </row>
    <row r="249" spans="1:22" x14ac:dyDescent="0.3">
      <c r="A249" s="1" t="s">
        <v>587</v>
      </c>
      <c r="B249" s="1" t="s">
        <v>588</v>
      </c>
      <c r="C249" s="1" t="s">
        <v>32</v>
      </c>
      <c r="D249">
        <v>58</v>
      </c>
      <c r="E249" s="1" t="s">
        <v>80</v>
      </c>
      <c r="F249" s="1" t="s">
        <v>81</v>
      </c>
      <c r="G249" s="1" t="s">
        <v>40</v>
      </c>
      <c r="H249">
        <v>23</v>
      </c>
      <c r="J249">
        <v>4.9000000000000004</v>
      </c>
      <c r="K249" t="b">
        <v>0</v>
      </c>
      <c r="M249" s="1" t="s">
        <v>51</v>
      </c>
      <c r="N249" s="1" t="s">
        <v>21</v>
      </c>
      <c r="O249">
        <v>19</v>
      </c>
      <c r="P249">
        <v>5</v>
      </c>
      <c r="Q249" t="str">
        <f t="shared" si="16"/>
        <v>ANDREW RUIZ</v>
      </c>
      <c r="R249" t="str">
        <f t="shared" si="17"/>
        <v>argentina</v>
      </c>
      <c r="S249" t="str">
        <f>PROPER(global_freelancer_raw[[#This Row],[NAME UPPER]])</f>
        <v>Andrew Ruiz</v>
      </c>
      <c r="T249" t="str">
        <f t="shared" si="18"/>
        <v>Ar</v>
      </c>
      <c r="U249" t="str">
        <f t="shared" si="15"/>
        <v>ew Rui</v>
      </c>
      <c r="V249" t="str">
        <f t="shared" si="19"/>
        <v>48</v>
      </c>
    </row>
    <row r="250" spans="1:22" x14ac:dyDescent="0.3">
      <c r="A250" s="1" t="s">
        <v>589</v>
      </c>
      <c r="B250" s="1" t="s">
        <v>590</v>
      </c>
      <c r="C250" s="1" t="s">
        <v>54</v>
      </c>
      <c r="D250">
        <v>34</v>
      </c>
      <c r="E250" s="1" t="s">
        <v>184</v>
      </c>
      <c r="F250" s="1" t="s">
        <v>185</v>
      </c>
      <c r="G250" s="1" t="s">
        <v>57</v>
      </c>
      <c r="H250">
        <v>6</v>
      </c>
      <c r="I250">
        <v>75</v>
      </c>
      <c r="J250">
        <v>1.9</v>
      </c>
      <c r="K250">
        <v>1</v>
      </c>
      <c r="L250">
        <v>0.81</v>
      </c>
      <c r="M250" s="1" t="s">
        <v>77</v>
      </c>
      <c r="N250" s="1" t="s">
        <v>36</v>
      </c>
      <c r="O250">
        <v>9</v>
      </c>
      <c r="P250">
        <v>6</v>
      </c>
      <c r="Q250" t="str">
        <f t="shared" si="16"/>
        <v>ZACHARY JACKSON</v>
      </c>
      <c r="R250" t="str">
        <f t="shared" si="17"/>
        <v>china</v>
      </c>
      <c r="S250" t="str">
        <f>PROPER(global_freelancer_raw[[#This Row],[NAME UPPER]])</f>
        <v>Zachary Jackson</v>
      </c>
      <c r="T250" t="str">
        <f t="shared" si="18"/>
        <v>Ch</v>
      </c>
      <c r="U250" t="str">
        <f t="shared" si="15"/>
        <v>ary Ja</v>
      </c>
      <c r="V250" t="str">
        <f t="shared" si="19"/>
        <v>49</v>
      </c>
    </row>
    <row r="251" spans="1:22" x14ac:dyDescent="0.3">
      <c r="A251" s="1" t="s">
        <v>591</v>
      </c>
      <c r="B251" s="1" t="s">
        <v>592</v>
      </c>
      <c r="C251" s="1" t="s">
        <v>16</v>
      </c>
      <c r="D251">
        <v>50</v>
      </c>
      <c r="E251" s="1" t="s">
        <v>102</v>
      </c>
      <c r="F251" s="1" t="s">
        <v>103</v>
      </c>
      <c r="G251" s="1" t="s">
        <v>27</v>
      </c>
      <c r="H251">
        <v>5</v>
      </c>
      <c r="I251">
        <v>100</v>
      </c>
      <c r="K251">
        <v>1</v>
      </c>
      <c r="M251" s="1" t="s">
        <v>77</v>
      </c>
      <c r="N251" s="1" t="s">
        <v>36</v>
      </c>
      <c r="O251">
        <v>4</v>
      </c>
      <c r="P251">
        <v>1</v>
      </c>
      <c r="Q251" t="str">
        <f t="shared" si="16"/>
        <v>STEPHANIE CARTER</v>
      </c>
      <c r="R251" t="str">
        <f t="shared" si="17"/>
        <v>india</v>
      </c>
      <c r="S251" t="str">
        <f>PROPER(global_freelancer_raw[[#This Row],[NAME UPPER]])</f>
        <v>Stephanie Carter</v>
      </c>
      <c r="T251" t="str">
        <f t="shared" si="18"/>
        <v>In</v>
      </c>
      <c r="U251" t="str">
        <f t="shared" si="15"/>
        <v xml:space="preserve">hanie </v>
      </c>
      <c r="V251" t="str">
        <f t="shared" si="19"/>
        <v>50</v>
      </c>
    </row>
    <row r="252" spans="1:22" x14ac:dyDescent="0.3">
      <c r="A252" s="1" t="s">
        <v>593</v>
      </c>
      <c r="B252" s="1" t="s">
        <v>594</v>
      </c>
      <c r="C252" s="1" t="s">
        <v>16</v>
      </c>
      <c r="D252">
        <v>42</v>
      </c>
      <c r="E252" s="1" t="s">
        <v>188</v>
      </c>
      <c r="F252" s="1" t="s">
        <v>81</v>
      </c>
      <c r="G252" s="1" t="s">
        <v>98</v>
      </c>
      <c r="H252">
        <v>19</v>
      </c>
      <c r="I252" t="s">
        <v>58</v>
      </c>
      <c r="J252">
        <v>4.5999999999999996</v>
      </c>
      <c r="K252">
        <v>0</v>
      </c>
      <c r="L252">
        <v>0.78</v>
      </c>
      <c r="M252" s="1" t="s">
        <v>20</v>
      </c>
      <c r="N252" s="1" t="s">
        <v>36</v>
      </c>
      <c r="O252">
        <v>18</v>
      </c>
      <c r="P252">
        <v>13</v>
      </c>
      <c r="Q252" t="str">
        <f t="shared" si="16"/>
        <v>AMY OLSON</v>
      </c>
      <c r="R252" t="str">
        <f t="shared" si="17"/>
        <v>mexico</v>
      </c>
      <c r="S252" t="str">
        <f>PROPER(global_freelancer_raw[[#This Row],[NAME UPPER]])</f>
        <v>Amy Olson</v>
      </c>
      <c r="T252" t="str">
        <f t="shared" si="18"/>
        <v>Me</v>
      </c>
      <c r="U252" t="str">
        <f t="shared" si="15"/>
        <v>Olson</v>
      </c>
      <c r="V252" t="str">
        <f t="shared" si="19"/>
        <v>51</v>
      </c>
    </row>
    <row r="253" spans="1:22" x14ac:dyDescent="0.3">
      <c r="A253" s="1" t="s">
        <v>595</v>
      </c>
      <c r="B253" s="1" t="s">
        <v>596</v>
      </c>
      <c r="C253" s="1" t="s">
        <v>101</v>
      </c>
      <c r="D253">
        <v>43</v>
      </c>
      <c r="E253" s="1" t="s">
        <v>33</v>
      </c>
      <c r="F253" s="1" t="s">
        <v>33</v>
      </c>
      <c r="G253" s="1" t="s">
        <v>82</v>
      </c>
      <c r="H253">
        <v>6</v>
      </c>
      <c r="I253">
        <v>50</v>
      </c>
      <c r="J253">
        <v>0</v>
      </c>
      <c r="K253">
        <v>0</v>
      </c>
      <c r="L253">
        <v>81</v>
      </c>
      <c r="M253" s="1" t="s">
        <v>72</v>
      </c>
      <c r="N253" s="1" t="s">
        <v>21</v>
      </c>
      <c r="O253">
        <v>8</v>
      </c>
      <c r="P253">
        <v>13</v>
      </c>
      <c r="Q253" t="str">
        <f t="shared" si="16"/>
        <v>FRED STARK</v>
      </c>
      <c r="R253" t="str">
        <f t="shared" si="17"/>
        <v>germany</v>
      </c>
      <c r="S253" t="str">
        <f>PROPER(global_freelancer_raw[[#This Row],[NAME UPPER]])</f>
        <v>Fred Stark</v>
      </c>
      <c r="T253" t="str">
        <f t="shared" si="18"/>
        <v>Ge</v>
      </c>
      <c r="U253" t="str">
        <f t="shared" si="15"/>
        <v xml:space="preserve"> Stark</v>
      </c>
      <c r="V253" t="str">
        <f t="shared" si="19"/>
        <v>52</v>
      </c>
    </row>
    <row r="254" spans="1:22" x14ac:dyDescent="0.3">
      <c r="A254" s="1" t="s">
        <v>597</v>
      </c>
      <c r="B254" s="1" t="s">
        <v>598</v>
      </c>
      <c r="C254" s="1" t="s">
        <v>106</v>
      </c>
      <c r="D254">
        <v>34</v>
      </c>
      <c r="E254" s="1" t="s">
        <v>33</v>
      </c>
      <c r="F254" s="1" t="s">
        <v>33</v>
      </c>
      <c r="G254" s="1" t="s">
        <v>57</v>
      </c>
      <c r="H254">
        <v>8</v>
      </c>
      <c r="I254">
        <v>75</v>
      </c>
      <c r="J254">
        <v>1.8</v>
      </c>
      <c r="K254">
        <v>1</v>
      </c>
      <c r="L254">
        <v>0.71</v>
      </c>
      <c r="M254" s="1" t="s">
        <v>77</v>
      </c>
      <c r="N254" s="1" t="s">
        <v>65</v>
      </c>
      <c r="O254">
        <v>8</v>
      </c>
      <c r="P254">
        <v>9</v>
      </c>
      <c r="Q254" t="str">
        <f t="shared" si="16"/>
        <v>JACOB GILL</v>
      </c>
      <c r="R254" t="str">
        <f t="shared" si="17"/>
        <v>germany</v>
      </c>
      <c r="S254" t="str">
        <f>PROPER(global_freelancer_raw[[#This Row],[NAME UPPER]])</f>
        <v>Jacob Gill</v>
      </c>
      <c r="T254" t="str">
        <f t="shared" si="18"/>
        <v>Ge</v>
      </c>
      <c r="U254" t="str">
        <f t="shared" si="15"/>
        <v>b Gill</v>
      </c>
      <c r="V254" t="str">
        <f t="shared" si="19"/>
        <v>53</v>
      </c>
    </row>
    <row r="255" spans="1:22" x14ac:dyDescent="0.3">
      <c r="A255" s="1" t="s">
        <v>599</v>
      </c>
      <c r="B255" s="1" t="s">
        <v>600</v>
      </c>
      <c r="C255" s="1" t="s">
        <v>106</v>
      </c>
      <c r="D255">
        <v>24</v>
      </c>
      <c r="E255" s="1" t="s">
        <v>199</v>
      </c>
      <c r="F255" s="1" t="s">
        <v>81</v>
      </c>
      <c r="G255" s="1" t="s">
        <v>27</v>
      </c>
      <c r="H255">
        <v>3</v>
      </c>
      <c r="I255">
        <v>75</v>
      </c>
      <c r="J255">
        <v>2</v>
      </c>
      <c r="K255" t="b">
        <v>0</v>
      </c>
      <c r="M255" s="1" t="s">
        <v>72</v>
      </c>
      <c r="N255" s="1" t="s">
        <v>29</v>
      </c>
      <c r="O255">
        <v>2</v>
      </c>
      <c r="P255">
        <v>1</v>
      </c>
      <c r="Q255" t="str">
        <f t="shared" si="16"/>
        <v>ANTHONY NICHOLS</v>
      </c>
      <c r="R255" t="str">
        <f t="shared" si="17"/>
        <v>spain</v>
      </c>
      <c r="S255" t="str">
        <f>PROPER(global_freelancer_raw[[#This Row],[NAME UPPER]])</f>
        <v>Anthony Nichols</v>
      </c>
      <c r="T255" t="str">
        <f t="shared" si="18"/>
        <v>Sp</v>
      </c>
      <c r="U255" t="str">
        <f t="shared" si="15"/>
        <v>ony Ni</v>
      </c>
      <c r="V255" t="str">
        <f t="shared" si="19"/>
        <v>54</v>
      </c>
    </row>
    <row r="256" spans="1:22" x14ac:dyDescent="0.3">
      <c r="A256" s="1" t="s">
        <v>601</v>
      </c>
      <c r="B256" s="1" t="s">
        <v>602</v>
      </c>
      <c r="C256" s="1" t="s">
        <v>54</v>
      </c>
      <c r="D256">
        <v>48</v>
      </c>
      <c r="E256" s="1" t="s">
        <v>162</v>
      </c>
      <c r="F256" s="1" t="s">
        <v>163</v>
      </c>
      <c r="G256" s="1" t="s">
        <v>82</v>
      </c>
      <c r="H256">
        <v>8</v>
      </c>
      <c r="I256">
        <v>30</v>
      </c>
      <c r="J256">
        <v>5</v>
      </c>
      <c r="K256">
        <v>1</v>
      </c>
      <c r="L256">
        <v>0.99</v>
      </c>
      <c r="M256" s="1" t="s">
        <v>20</v>
      </c>
      <c r="N256" s="1" t="s">
        <v>65</v>
      </c>
      <c r="O256">
        <v>6</v>
      </c>
      <c r="P256">
        <v>9</v>
      </c>
      <c r="Q256" t="str">
        <f t="shared" si="16"/>
        <v>WILLIAM KNAPP</v>
      </c>
      <c r="R256" t="str">
        <f t="shared" si="17"/>
        <v>south africa</v>
      </c>
      <c r="S256" t="str">
        <f>PROPER(global_freelancer_raw[[#This Row],[NAME UPPER]])</f>
        <v>William Knapp</v>
      </c>
      <c r="T256" t="str">
        <f t="shared" si="18"/>
        <v>So</v>
      </c>
      <c r="U256" t="str">
        <f t="shared" si="15"/>
        <v>iam Kn</v>
      </c>
      <c r="V256" t="str">
        <f t="shared" si="19"/>
        <v>55</v>
      </c>
    </row>
    <row r="257" spans="1:22" x14ac:dyDescent="0.3">
      <c r="A257" s="1" t="s">
        <v>603</v>
      </c>
      <c r="B257" s="1" t="s">
        <v>604</v>
      </c>
      <c r="C257" s="1" t="s">
        <v>39</v>
      </c>
      <c r="D257">
        <v>39</v>
      </c>
      <c r="E257" s="1" t="s">
        <v>121</v>
      </c>
      <c r="F257" s="1" t="s">
        <v>122</v>
      </c>
      <c r="G257" s="1" t="s">
        <v>57</v>
      </c>
      <c r="H257">
        <v>12</v>
      </c>
      <c r="I257" t="s">
        <v>130</v>
      </c>
      <c r="J257">
        <v>3.2</v>
      </c>
      <c r="K257" t="b">
        <v>1</v>
      </c>
      <c r="L257">
        <v>0.66</v>
      </c>
      <c r="M257" s="1" t="s">
        <v>20</v>
      </c>
      <c r="N257" s="1" t="s">
        <v>29</v>
      </c>
      <c r="O257">
        <v>15</v>
      </c>
      <c r="P257">
        <v>6</v>
      </c>
      <c r="Q257" t="str">
        <f t="shared" si="16"/>
        <v>ELIZABETH WALKER</v>
      </c>
      <c r="R257" t="str">
        <f t="shared" si="17"/>
        <v>south korea</v>
      </c>
      <c r="S257" t="str">
        <f>PROPER(global_freelancer_raw[[#This Row],[NAME UPPER]])</f>
        <v>Elizabeth Walker</v>
      </c>
      <c r="T257" t="str">
        <f t="shared" si="18"/>
        <v>So</v>
      </c>
      <c r="U257" t="str">
        <f t="shared" si="15"/>
        <v xml:space="preserve">abeth </v>
      </c>
      <c r="V257" t="str">
        <f t="shared" si="19"/>
        <v>56</v>
      </c>
    </row>
    <row r="258" spans="1:22" x14ac:dyDescent="0.3">
      <c r="A258" s="1" t="s">
        <v>605</v>
      </c>
      <c r="B258" s="1" t="s">
        <v>606</v>
      </c>
      <c r="C258" s="1" t="s">
        <v>39</v>
      </c>
      <c r="D258">
        <v>57</v>
      </c>
      <c r="E258" s="1" t="s">
        <v>25</v>
      </c>
      <c r="F258" s="1" t="s">
        <v>26</v>
      </c>
      <c r="G258" s="1" t="s">
        <v>19</v>
      </c>
      <c r="H258">
        <v>30</v>
      </c>
      <c r="I258" t="s">
        <v>50</v>
      </c>
      <c r="J258">
        <v>2.4</v>
      </c>
      <c r="L258">
        <v>0.8</v>
      </c>
      <c r="M258" s="1" t="s">
        <v>51</v>
      </c>
      <c r="N258" s="1" t="s">
        <v>36</v>
      </c>
      <c r="O258">
        <v>13</v>
      </c>
      <c r="P258">
        <v>8</v>
      </c>
      <c r="Q258" t="str">
        <f t="shared" si="16"/>
        <v>BRENDA REEVES</v>
      </c>
      <c r="R258" t="str">
        <f t="shared" si="17"/>
        <v>australia</v>
      </c>
      <c r="S258" t="str">
        <f>PROPER(global_freelancer_raw[[#This Row],[NAME UPPER]])</f>
        <v>Brenda Reeves</v>
      </c>
      <c r="T258" t="str">
        <f t="shared" si="18"/>
        <v>Au</v>
      </c>
      <c r="U258" t="str">
        <f t="shared" ref="U258:U321" si="20">MID(B258,5,6)</f>
        <v>da Ree</v>
      </c>
      <c r="V258" t="str">
        <f t="shared" si="19"/>
        <v>57</v>
      </c>
    </row>
    <row r="259" spans="1:22" x14ac:dyDescent="0.3">
      <c r="A259" s="1" t="s">
        <v>607</v>
      </c>
      <c r="B259" s="1" t="s">
        <v>608</v>
      </c>
      <c r="C259" s="1" t="s">
        <v>24</v>
      </c>
      <c r="D259">
        <v>44</v>
      </c>
      <c r="E259" s="1" t="s">
        <v>137</v>
      </c>
      <c r="F259" s="1" t="s">
        <v>26</v>
      </c>
      <c r="G259" s="1" t="s">
        <v>40</v>
      </c>
      <c r="H259">
        <v>21</v>
      </c>
      <c r="I259">
        <v>100</v>
      </c>
      <c r="J259">
        <v>2.9</v>
      </c>
      <c r="K259">
        <v>0</v>
      </c>
      <c r="L259">
        <v>0.83</v>
      </c>
      <c r="M259" s="1" t="s">
        <v>77</v>
      </c>
      <c r="N259" s="1" t="s">
        <v>65</v>
      </c>
      <c r="O259">
        <v>17</v>
      </c>
      <c r="P259">
        <v>1</v>
      </c>
      <c r="Q259" t="str">
        <f t="shared" ref="Q259:Q322" si="21">UPPER(B259)</f>
        <v>CARRIE LITTLE</v>
      </c>
      <c r="R259" t="str">
        <f t="shared" ref="R259:R322" si="22">LOWER(E259)</f>
        <v>canada</v>
      </c>
      <c r="S259" t="str">
        <f>PROPER(global_freelancer_raw[[#This Row],[NAME UPPER]])</f>
        <v>Carrie Little</v>
      </c>
      <c r="T259" t="str">
        <f t="shared" ref="T259:T322" si="23">LEFT(E259,"2")</f>
        <v>Ca</v>
      </c>
      <c r="U259" t="str">
        <f t="shared" si="20"/>
        <v>ie Lit</v>
      </c>
      <c r="V259" t="str">
        <f t="shared" ref="V259:V322" si="24">RIGHT(A259,"2")</f>
        <v>58</v>
      </c>
    </row>
    <row r="260" spans="1:22" x14ac:dyDescent="0.3">
      <c r="A260" s="1" t="s">
        <v>609</v>
      </c>
      <c r="B260" s="1" t="s">
        <v>610</v>
      </c>
      <c r="C260" s="1" t="s">
        <v>32</v>
      </c>
      <c r="D260">
        <v>37</v>
      </c>
      <c r="E260" s="1" t="s">
        <v>116</v>
      </c>
      <c r="F260" s="1" t="s">
        <v>117</v>
      </c>
      <c r="G260" s="1" t="s">
        <v>82</v>
      </c>
      <c r="H260">
        <v>17</v>
      </c>
      <c r="I260" t="s">
        <v>323</v>
      </c>
      <c r="J260">
        <v>0</v>
      </c>
      <c r="K260" t="s">
        <v>76</v>
      </c>
      <c r="L260">
        <v>87</v>
      </c>
      <c r="M260" s="1" t="s">
        <v>72</v>
      </c>
      <c r="N260" s="1" t="s">
        <v>29</v>
      </c>
      <c r="O260">
        <v>16</v>
      </c>
      <c r="P260">
        <v>7</v>
      </c>
      <c r="Q260" t="str">
        <f t="shared" si="21"/>
        <v>STEVEN JACKSON</v>
      </c>
      <c r="R260" t="str">
        <f t="shared" si="22"/>
        <v>brazil</v>
      </c>
      <c r="S260" t="str">
        <f>PROPER(global_freelancer_raw[[#This Row],[NAME UPPER]])</f>
        <v>Steven Jackson</v>
      </c>
      <c r="T260" t="str">
        <f t="shared" si="23"/>
        <v>Br</v>
      </c>
      <c r="U260" t="str">
        <f t="shared" si="20"/>
        <v>en Jac</v>
      </c>
      <c r="V260" t="str">
        <f t="shared" si="24"/>
        <v>59</v>
      </c>
    </row>
    <row r="261" spans="1:22" x14ac:dyDescent="0.3">
      <c r="A261" s="1" t="s">
        <v>611</v>
      </c>
      <c r="B261" s="1" t="s">
        <v>612</v>
      </c>
      <c r="C261" s="1" t="s">
        <v>106</v>
      </c>
      <c r="D261">
        <v>50</v>
      </c>
      <c r="E261" s="1" t="s">
        <v>69</v>
      </c>
      <c r="F261" s="1" t="s">
        <v>70</v>
      </c>
      <c r="G261" s="1" t="s">
        <v>57</v>
      </c>
      <c r="H261">
        <v>9</v>
      </c>
      <c r="I261">
        <v>30</v>
      </c>
      <c r="J261">
        <v>3</v>
      </c>
      <c r="K261">
        <v>0</v>
      </c>
      <c r="L261">
        <v>76</v>
      </c>
      <c r="M261" s="1" t="s">
        <v>51</v>
      </c>
      <c r="N261" s="1" t="s">
        <v>21</v>
      </c>
      <c r="O261">
        <v>15</v>
      </c>
      <c r="P261">
        <v>3</v>
      </c>
      <c r="Q261" t="str">
        <f t="shared" si="21"/>
        <v>MARK PERRY</v>
      </c>
      <c r="R261" t="str">
        <f t="shared" si="22"/>
        <v>turkey</v>
      </c>
      <c r="S261" t="str">
        <f>PROPER(global_freelancer_raw[[#This Row],[NAME UPPER]])</f>
        <v>Mark Perry</v>
      </c>
      <c r="T261" t="str">
        <f t="shared" si="23"/>
        <v>Tu</v>
      </c>
      <c r="U261" t="str">
        <f t="shared" si="20"/>
        <v xml:space="preserve"> Perry</v>
      </c>
      <c r="V261" t="str">
        <f t="shared" si="24"/>
        <v>60</v>
      </c>
    </row>
    <row r="262" spans="1:22" x14ac:dyDescent="0.3">
      <c r="A262" s="1" t="s">
        <v>613</v>
      </c>
      <c r="B262" s="1" t="s">
        <v>614</v>
      </c>
      <c r="C262" s="1" t="s">
        <v>106</v>
      </c>
      <c r="D262">
        <v>50</v>
      </c>
      <c r="E262" s="1" t="s">
        <v>199</v>
      </c>
      <c r="F262" s="1" t="s">
        <v>81</v>
      </c>
      <c r="G262" s="1" t="s">
        <v>82</v>
      </c>
      <c r="H262">
        <v>2</v>
      </c>
      <c r="I262">
        <v>50</v>
      </c>
      <c r="J262">
        <v>1.6</v>
      </c>
      <c r="K262" t="s">
        <v>168</v>
      </c>
      <c r="L262">
        <v>0.89</v>
      </c>
      <c r="M262" s="1" t="s">
        <v>77</v>
      </c>
      <c r="N262" s="1" t="s">
        <v>21</v>
      </c>
      <c r="O262">
        <v>3</v>
      </c>
      <c r="P262">
        <v>1</v>
      </c>
      <c r="Q262" t="str">
        <f t="shared" si="21"/>
        <v>CAMERON SPENCER</v>
      </c>
      <c r="R262" t="str">
        <f t="shared" si="22"/>
        <v>spain</v>
      </c>
      <c r="S262" t="str">
        <f>PROPER(global_freelancer_raw[[#This Row],[NAME UPPER]])</f>
        <v>Cameron Spencer</v>
      </c>
      <c r="T262" t="str">
        <f t="shared" si="23"/>
        <v>Sp</v>
      </c>
      <c r="U262" t="str">
        <f t="shared" si="20"/>
        <v>ron Sp</v>
      </c>
      <c r="V262" t="str">
        <f t="shared" si="24"/>
        <v>61</v>
      </c>
    </row>
    <row r="263" spans="1:22" x14ac:dyDescent="0.3">
      <c r="A263" s="1" t="s">
        <v>615</v>
      </c>
      <c r="B263" s="1" t="s">
        <v>616</v>
      </c>
      <c r="C263" s="1" t="s">
        <v>86</v>
      </c>
      <c r="D263">
        <v>28</v>
      </c>
      <c r="E263" s="1" t="s">
        <v>144</v>
      </c>
      <c r="F263" s="1" t="s">
        <v>145</v>
      </c>
      <c r="G263" s="1" t="s">
        <v>34</v>
      </c>
      <c r="H263">
        <v>1</v>
      </c>
      <c r="I263">
        <v>20</v>
      </c>
      <c r="J263">
        <v>3.6</v>
      </c>
      <c r="K263" t="s">
        <v>76</v>
      </c>
      <c r="L263">
        <v>0.94</v>
      </c>
      <c r="M263" s="1" t="s">
        <v>51</v>
      </c>
      <c r="N263" s="1" t="s">
        <v>65</v>
      </c>
      <c r="O263">
        <v>3</v>
      </c>
      <c r="P263">
        <v>1</v>
      </c>
      <c r="Q263" t="str">
        <f t="shared" si="21"/>
        <v>JENNIFER HOLMES</v>
      </c>
      <c r="R263" t="str">
        <f t="shared" si="22"/>
        <v>france</v>
      </c>
      <c r="S263" t="str">
        <f>PROPER(global_freelancer_raw[[#This Row],[NAME UPPER]])</f>
        <v>Jennifer Holmes</v>
      </c>
      <c r="T263" t="str">
        <f t="shared" si="23"/>
        <v>Fr</v>
      </c>
      <c r="U263" t="str">
        <f t="shared" si="20"/>
        <v>ifer H</v>
      </c>
      <c r="V263" t="str">
        <f t="shared" si="24"/>
        <v>62</v>
      </c>
    </row>
    <row r="264" spans="1:22" x14ac:dyDescent="0.3">
      <c r="A264" s="1" t="s">
        <v>617</v>
      </c>
      <c r="B264" s="1" t="s">
        <v>618</v>
      </c>
      <c r="C264" s="1" t="s">
        <v>106</v>
      </c>
      <c r="D264">
        <v>48</v>
      </c>
      <c r="E264" s="1" t="s">
        <v>17</v>
      </c>
      <c r="F264" s="1" t="s">
        <v>18</v>
      </c>
      <c r="G264" s="1" t="s">
        <v>40</v>
      </c>
      <c r="H264">
        <v>23</v>
      </c>
      <c r="J264">
        <v>2.1</v>
      </c>
      <c r="K264">
        <v>0</v>
      </c>
      <c r="L264">
        <v>0.68</v>
      </c>
      <c r="M264" s="1" t="s">
        <v>20</v>
      </c>
      <c r="N264" s="1" t="s">
        <v>65</v>
      </c>
      <c r="O264">
        <v>14</v>
      </c>
      <c r="P264">
        <v>7</v>
      </c>
      <c r="Q264" t="str">
        <f t="shared" si="21"/>
        <v>JACOB JOSEPH</v>
      </c>
      <c r="R264" t="str">
        <f t="shared" si="22"/>
        <v>italy</v>
      </c>
      <c r="S264" t="str">
        <f>PROPER(global_freelancer_raw[[#This Row],[NAME UPPER]])</f>
        <v>Jacob Joseph</v>
      </c>
      <c r="T264" t="str">
        <f t="shared" si="23"/>
        <v>It</v>
      </c>
      <c r="U264" t="str">
        <f t="shared" si="20"/>
        <v>b Jose</v>
      </c>
      <c r="V264" t="str">
        <f t="shared" si="24"/>
        <v>63</v>
      </c>
    </row>
    <row r="265" spans="1:22" x14ac:dyDescent="0.3">
      <c r="A265" s="1" t="s">
        <v>619</v>
      </c>
      <c r="B265" s="1" t="s">
        <v>620</v>
      </c>
      <c r="C265" s="1" t="s">
        <v>106</v>
      </c>
      <c r="D265">
        <v>42</v>
      </c>
      <c r="E265" s="1" t="s">
        <v>33</v>
      </c>
      <c r="F265" s="1" t="s">
        <v>33</v>
      </c>
      <c r="G265" s="1" t="s">
        <v>98</v>
      </c>
      <c r="H265">
        <v>8</v>
      </c>
      <c r="I265">
        <v>30</v>
      </c>
      <c r="J265">
        <v>3.6</v>
      </c>
      <c r="K265">
        <v>1</v>
      </c>
      <c r="L265">
        <v>0.96</v>
      </c>
      <c r="M265" s="1" t="s">
        <v>77</v>
      </c>
      <c r="N265" s="1" t="s">
        <v>36</v>
      </c>
      <c r="O265">
        <v>9</v>
      </c>
      <c r="P265">
        <v>7</v>
      </c>
      <c r="Q265" t="str">
        <f t="shared" si="21"/>
        <v>JEFFERY TUCKER</v>
      </c>
      <c r="R265" t="str">
        <f t="shared" si="22"/>
        <v>germany</v>
      </c>
      <c r="S265" t="str">
        <f>PROPER(global_freelancer_raw[[#This Row],[NAME UPPER]])</f>
        <v>Jeffery Tucker</v>
      </c>
      <c r="T265" t="str">
        <f t="shared" si="23"/>
        <v>Ge</v>
      </c>
      <c r="U265" t="str">
        <f t="shared" si="20"/>
        <v>ery Tu</v>
      </c>
      <c r="V265" t="str">
        <f t="shared" si="24"/>
        <v>64</v>
      </c>
    </row>
    <row r="266" spans="1:22" x14ac:dyDescent="0.3">
      <c r="A266" s="1" t="s">
        <v>621</v>
      </c>
      <c r="B266" s="1" t="s">
        <v>622</v>
      </c>
      <c r="C266" s="1" t="s">
        <v>86</v>
      </c>
      <c r="D266">
        <v>37</v>
      </c>
      <c r="E266" s="1" t="s">
        <v>137</v>
      </c>
      <c r="F266" s="1" t="s">
        <v>26</v>
      </c>
      <c r="G266" s="1" t="s">
        <v>57</v>
      </c>
      <c r="H266">
        <v>6</v>
      </c>
      <c r="I266" t="s">
        <v>130</v>
      </c>
      <c r="J266">
        <v>2.7</v>
      </c>
      <c r="K266" t="b">
        <v>1</v>
      </c>
      <c r="L266">
        <v>0.91</v>
      </c>
      <c r="M266" s="1" t="s">
        <v>51</v>
      </c>
      <c r="N266" s="1" t="s">
        <v>65</v>
      </c>
      <c r="O266">
        <v>6</v>
      </c>
      <c r="P266">
        <v>4</v>
      </c>
      <c r="Q266" t="str">
        <f t="shared" si="21"/>
        <v>JACQUELINE DRAKE</v>
      </c>
      <c r="R266" t="str">
        <f t="shared" si="22"/>
        <v>canada</v>
      </c>
      <c r="S266" t="str">
        <f>PROPER(global_freelancer_raw[[#This Row],[NAME UPPER]])</f>
        <v>Jacqueline Drake</v>
      </c>
      <c r="T266" t="str">
        <f t="shared" si="23"/>
        <v>Ca</v>
      </c>
      <c r="U266" t="str">
        <f t="shared" si="20"/>
        <v>ueline</v>
      </c>
      <c r="V266" t="str">
        <f t="shared" si="24"/>
        <v>65</v>
      </c>
    </row>
    <row r="267" spans="1:22" x14ac:dyDescent="0.3">
      <c r="A267" s="1" t="s">
        <v>623</v>
      </c>
      <c r="B267" s="1" t="s">
        <v>624</v>
      </c>
      <c r="C267" s="1" t="s">
        <v>106</v>
      </c>
      <c r="D267">
        <v>21</v>
      </c>
      <c r="E267" s="1" t="s">
        <v>102</v>
      </c>
      <c r="F267" s="1" t="s">
        <v>103</v>
      </c>
      <c r="G267" s="1" t="s">
        <v>19</v>
      </c>
      <c r="H267">
        <v>1</v>
      </c>
      <c r="I267">
        <v>100</v>
      </c>
      <c r="J267">
        <v>2.1</v>
      </c>
      <c r="K267">
        <v>1</v>
      </c>
      <c r="L267">
        <v>0.92</v>
      </c>
      <c r="M267" s="1" t="s">
        <v>51</v>
      </c>
      <c r="N267" s="1" t="s">
        <v>36</v>
      </c>
      <c r="O267">
        <v>5</v>
      </c>
      <c r="P267">
        <v>4</v>
      </c>
      <c r="Q267" t="str">
        <f t="shared" si="21"/>
        <v>BRIAN BAUTISTA</v>
      </c>
      <c r="R267" t="str">
        <f t="shared" si="22"/>
        <v>india</v>
      </c>
      <c r="S267" t="str">
        <f>PROPER(global_freelancer_raw[[#This Row],[NAME UPPER]])</f>
        <v>Brian Bautista</v>
      </c>
      <c r="T267" t="str">
        <f t="shared" si="23"/>
        <v>In</v>
      </c>
      <c r="U267" t="str">
        <f t="shared" si="20"/>
        <v>n Baut</v>
      </c>
      <c r="V267" t="str">
        <f t="shared" si="24"/>
        <v>66</v>
      </c>
    </row>
    <row r="268" spans="1:22" x14ac:dyDescent="0.3">
      <c r="A268" s="1" t="s">
        <v>625</v>
      </c>
      <c r="B268" s="1" t="s">
        <v>626</v>
      </c>
      <c r="C268" s="1" t="s">
        <v>68</v>
      </c>
      <c r="D268">
        <v>50</v>
      </c>
      <c r="E268" s="1" t="s">
        <v>121</v>
      </c>
      <c r="F268" s="1" t="s">
        <v>122</v>
      </c>
      <c r="G268" s="1" t="s">
        <v>40</v>
      </c>
      <c r="H268">
        <v>19</v>
      </c>
      <c r="I268" t="s">
        <v>41</v>
      </c>
      <c r="J268">
        <v>4.9000000000000004</v>
      </c>
      <c r="L268">
        <v>0.82</v>
      </c>
      <c r="M268" s="1" t="s">
        <v>72</v>
      </c>
      <c r="N268" s="1" t="s">
        <v>36</v>
      </c>
      <c r="O268">
        <v>15</v>
      </c>
      <c r="P268">
        <v>15</v>
      </c>
      <c r="Q268" t="str">
        <f t="shared" si="21"/>
        <v>DAKOTA WELLS</v>
      </c>
      <c r="R268" t="str">
        <f t="shared" si="22"/>
        <v>south korea</v>
      </c>
      <c r="S268" t="str">
        <f>PROPER(global_freelancer_raw[[#This Row],[NAME UPPER]])</f>
        <v>Dakota Wells</v>
      </c>
      <c r="T268" t="str">
        <f t="shared" si="23"/>
        <v>So</v>
      </c>
      <c r="U268" t="str">
        <f t="shared" si="20"/>
        <v>ta Wel</v>
      </c>
      <c r="V268" t="str">
        <f t="shared" si="24"/>
        <v>67</v>
      </c>
    </row>
    <row r="269" spans="1:22" x14ac:dyDescent="0.3">
      <c r="A269" s="1" t="s">
        <v>627</v>
      </c>
      <c r="B269" s="1" t="s">
        <v>628</v>
      </c>
      <c r="C269" s="1" t="s">
        <v>39</v>
      </c>
      <c r="D269">
        <v>22</v>
      </c>
      <c r="E269" s="1" t="s">
        <v>80</v>
      </c>
      <c r="F269" s="1" t="s">
        <v>81</v>
      </c>
      <c r="G269" s="1" t="s">
        <v>49</v>
      </c>
      <c r="H269">
        <v>2</v>
      </c>
      <c r="I269">
        <v>30</v>
      </c>
      <c r="J269">
        <v>2.1</v>
      </c>
      <c r="M269" s="1" t="s">
        <v>51</v>
      </c>
      <c r="N269" s="1" t="s">
        <v>21</v>
      </c>
      <c r="O269">
        <v>2</v>
      </c>
      <c r="P269">
        <v>2</v>
      </c>
      <c r="Q269" t="str">
        <f t="shared" si="21"/>
        <v>JULIE WHITE</v>
      </c>
      <c r="R269" t="str">
        <f t="shared" si="22"/>
        <v>argentina</v>
      </c>
      <c r="S269" t="str">
        <f>PROPER(global_freelancer_raw[[#This Row],[NAME UPPER]])</f>
        <v>Julie White</v>
      </c>
      <c r="T269" t="str">
        <f t="shared" si="23"/>
        <v>Ar</v>
      </c>
      <c r="U269" t="str">
        <f t="shared" si="20"/>
        <v>e Whit</v>
      </c>
      <c r="V269" t="str">
        <f t="shared" si="24"/>
        <v>68</v>
      </c>
    </row>
    <row r="270" spans="1:22" x14ac:dyDescent="0.3">
      <c r="A270" s="1" t="s">
        <v>629</v>
      </c>
      <c r="B270" s="1" t="s">
        <v>630</v>
      </c>
      <c r="C270" s="1" t="s">
        <v>86</v>
      </c>
      <c r="D270">
        <v>39</v>
      </c>
      <c r="E270" s="1" t="s">
        <v>94</v>
      </c>
      <c r="F270" s="1" t="s">
        <v>95</v>
      </c>
      <c r="G270" s="1" t="s">
        <v>40</v>
      </c>
      <c r="H270">
        <v>21</v>
      </c>
      <c r="I270">
        <v>100</v>
      </c>
      <c r="J270">
        <v>0</v>
      </c>
      <c r="K270" t="s">
        <v>168</v>
      </c>
      <c r="L270">
        <v>0.91</v>
      </c>
      <c r="M270" s="1" t="s">
        <v>77</v>
      </c>
      <c r="N270" s="1" t="s">
        <v>21</v>
      </c>
      <c r="O270">
        <v>17</v>
      </c>
      <c r="P270">
        <v>13</v>
      </c>
      <c r="Q270" t="str">
        <f t="shared" si="21"/>
        <v>BARBARA KEITH</v>
      </c>
      <c r="R270" t="str">
        <f t="shared" si="22"/>
        <v>japan</v>
      </c>
      <c r="S270" t="str">
        <f>PROPER(global_freelancer_raw[[#This Row],[NAME UPPER]])</f>
        <v>Barbara Keith</v>
      </c>
      <c r="T270" t="str">
        <f t="shared" si="23"/>
        <v>Ja</v>
      </c>
      <c r="U270" t="str">
        <f t="shared" si="20"/>
        <v>ara Ke</v>
      </c>
      <c r="V270" t="str">
        <f t="shared" si="24"/>
        <v>69</v>
      </c>
    </row>
    <row r="271" spans="1:22" x14ac:dyDescent="0.3">
      <c r="A271" s="1" t="s">
        <v>631</v>
      </c>
      <c r="B271" s="1" t="s">
        <v>632</v>
      </c>
      <c r="C271" s="1" t="s">
        <v>86</v>
      </c>
      <c r="D271">
        <v>25</v>
      </c>
      <c r="E271" s="1" t="s">
        <v>94</v>
      </c>
      <c r="F271" s="1" t="s">
        <v>95</v>
      </c>
      <c r="G271" s="1" t="s">
        <v>123</v>
      </c>
      <c r="H271">
        <v>3</v>
      </c>
      <c r="I271" t="s">
        <v>71</v>
      </c>
      <c r="J271">
        <v>2.8</v>
      </c>
      <c r="K271" t="s">
        <v>76</v>
      </c>
      <c r="L271">
        <v>86</v>
      </c>
      <c r="M271" s="1" t="s">
        <v>77</v>
      </c>
      <c r="N271" s="1" t="s">
        <v>29</v>
      </c>
      <c r="O271">
        <v>3</v>
      </c>
      <c r="P271">
        <v>2</v>
      </c>
      <c r="Q271" t="str">
        <f t="shared" si="21"/>
        <v>HEATHER CAMACHO</v>
      </c>
      <c r="R271" t="str">
        <f t="shared" si="22"/>
        <v>japan</v>
      </c>
      <c r="S271" t="str">
        <f>PROPER(global_freelancer_raw[[#This Row],[NAME UPPER]])</f>
        <v>Heather Camacho</v>
      </c>
      <c r="T271" t="str">
        <f t="shared" si="23"/>
        <v>Ja</v>
      </c>
      <c r="U271" t="str">
        <f t="shared" si="20"/>
        <v>her Ca</v>
      </c>
      <c r="V271" t="str">
        <f t="shared" si="24"/>
        <v>70</v>
      </c>
    </row>
    <row r="272" spans="1:22" x14ac:dyDescent="0.3">
      <c r="A272" s="1" t="s">
        <v>633</v>
      </c>
      <c r="B272" s="1" t="s">
        <v>634</v>
      </c>
      <c r="C272" s="1" t="s">
        <v>24</v>
      </c>
      <c r="D272">
        <v>47</v>
      </c>
      <c r="E272" s="1" t="s">
        <v>162</v>
      </c>
      <c r="F272" s="1" t="s">
        <v>163</v>
      </c>
      <c r="G272" s="1" t="s">
        <v>27</v>
      </c>
      <c r="H272">
        <v>14</v>
      </c>
      <c r="K272" t="b">
        <v>0</v>
      </c>
      <c r="L272">
        <v>0.69</v>
      </c>
      <c r="M272" s="1" t="s">
        <v>72</v>
      </c>
      <c r="N272" s="1" t="s">
        <v>21</v>
      </c>
      <c r="O272">
        <v>12</v>
      </c>
      <c r="P272">
        <v>13</v>
      </c>
      <c r="Q272" t="str">
        <f t="shared" si="21"/>
        <v>MELANIE HARRIS</v>
      </c>
      <c r="R272" t="str">
        <f t="shared" si="22"/>
        <v>south africa</v>
      </c>
      <c r="S272" t="str">
        <f>PROPER(global_freelancer_raw[[#This Row],[NAME UPPER]])</f>
        <v>Melanie Harris</v>
      </c>
      <c r="T272" t="str">
        <f t="shared" si="23"/>
        <v>So</v>
      </c>
      <c r="U272" t="str">
        <f t="shared" si="20"/>
        <v>nie Ha</v>
      </c>
      <c r="V272" t="str">
        <f t="shared" si="24"/>
        <v>71</v>
      </c>
    </row>
    <row r="273" spans="1:22" x14ac:dyDescent="0.3">
      <c r="A273" s="1" t="s">
        <v>635</v>
      </c>
      <c r="B273" s="1" t="s">
        <v>636</v>
      </c>
      <c r="C273" s="1" t="s">
        <v>16</v>
      </c>
      <c r="D273">
        <v>35</v>
      </c>
      <c r="E273" s="1" t="s">
        <v>162</v>
      </c>
      <c r="F273" s="1" t="s">
        <v>163</v>
      </c>
      <c r="G273" s="1" t="s">
        <v>82</v>
      </c>
      <c r="H273">
        <v>10</v>
      </c>
      <c r="I273" t="s">
        <v>28</v>
      </c>
      <c r="J273">
        <v>4.7</v>
      </c>
      <c r="K273" t="b">
        <v>1</v>
      </c>
      <c r="L273">
        <v>0.84</v>
      </c>
      <c r="M273" s="1" t="s">
        <v>77</v>
      </c>
      <c r="N273" s="1" t="s">
        <v>21</v>
      </c>
      <c r="O273">
        <v>7</v>
      </c>
      <c r="P273">
        <v>13</v>
      </c>
      <c r="Q273" t="str">
        <f t="shared" si="21"/>
        <v>JACQUELINE PETERSON</v>
      </c>
      <c r="R273" t="str">
        <f t="shared" si="22"/>
        <v>south africa</v>
      </c>
      <c r="S273" t="str">
        <f>PROPER(global_freelancer_raw[[#This Row],[NAME UPPER]])</f>
        <v>Jacqueline Peterson</v>
      </c>
      <c r="T273" t="str">
        <f t="shared" si="23"/>
        <v>So</v>
      </c>
      <c r="U273" t="str">
        <f t="shared" si="20"/>
        <v>ueline</v>
      </c>
      <c r="V273" t="str">
        <f t="shared" si="24"/>
        <v>72</v>
      </c>
    </row>
    <row r="274" spans="1:22" x14ac:dyDescent="0.3">
      <c r="A274" s="1" t="s">
        <v>637</v>
      </c>
      <c r="B274" s="1" t="s">
        <v>638</v>
      </c>
      <c r="C274" s="1" t="s">
        <v>16</v>
      </c>
      <c r="E274" s="1" t="s">
        <v>75</v>
      </c>
      <c r="F274" s="1" t="s">
        <v>26</v>
      </c>
      <c r="G274" s="1" t="s">
        <v>87</v>
      </c>
      <c r="H274">
        <v>5</v>
      </c>
      <c r="I274">
        <v>100</v>
      </c>
      <c r="J274">
        <v>1.3</v>
      </c>
      <c r="K274">
        <v>0</v>
      </c>
      <c r="L274">
        <v>0.6</v>
      </c>
      <c r="M274" s="1" t="s">
        <v>20</v>
      </c>
      <c r="N274" s="1" t="s">
        <v>65</v>
      </c>
      <c r="O274">
        <v>5</v>
      </c>
      <c r="P274">
        <v>2</v>
      </c>
      <c r="Q274" t="str">
        <f t="shared" si="21"/>
        <v>NANCY LONG</v>
      </c>
      <c r="R274" t="str">
        <f t="shared" si="22"/>
        <v>uk</v>
      </c>
      <c r="S274" t="str">
        <f>PROPER(global_freelancer_raw[[#This Row],[NAME UPPER]])</f>
        <v>Nancy Long</v>
      </c>
      <c r="T274" t="str">
        <f t="shared" si="23"/>
        <v>UK</v>
      </c>
      <c r="U274" t="str">
        <f t="shared" si="20"/>
        <v>y Long</v>
      </c>
      <c r="V274" t="str">
        <f t="shared" si="24"/>
        <v>73</v>
      </c>
    </row>
    <row r="275" spans="1:22" x14ac:dyDescent="0.3">
      <c r="A275" s="1" t="s">
        <v>639</v>
      </c>
      <c r="B275" s="1" t="s">
        <v>640</v>
      </c>
      <c r="C275" s="1" t="s">
        <v>32</v>
      </c>
      <c r="D275">
        <v>35</v>
      </c>
      <c r="E275" s="1" t="s">
        <v>47</v>
      </c>
      <c r="F275" s="1" t="s">
        <v>48</v>
      </c>
      <c r="G275" s="1" t="s">
        <v>19</v>
      </c>
      <c r="H275">
        <v>6</v>
      </c>
      <c r="I275" t="s">
        <v>58</v>
      </c>
      <c r="J275">
        <v>1.6</v>
      </c>
      <c r="K275">
        <v>1</v>
      </c>
      <c r="L275">
        <v>0.97</v>
      </c>
      <c r="M275" s="1" t="s">
        <v>77</v>
      </c>
      <c r="N275" s="1" t="s">
        <v>21</v>
      </c>
      <c r="O275">
        <v>13</v>
      </c>
      <c r="P275">
        <v>6</v>
      </c>
      <c r="Q275" t="str">
        <f t="shared" si="21"/>
        <v>MR. JUAN MITCHELL</v>
      </c>
      <c r="R275" t="str">
        <f t="shared" si="22"/>
        <v>netherlands</v>
      </c>
      <c r="S275" t="str">
        <f>PROPER(global_freelancer_raw[[#This Row],[NAME UPPER]])</f>
        <v>Mr. Juan Mitchell</v>
      </c>
      <c r="T275" t="str">
        <f t="shared" si="23"/>
        <v>Ne</v>
      </c>
      <c r="U275" t="str">
        <f t="shared" si="20"/>
        <v>Juan M</v>
      </c>
      <c r="V275" t="str">
        <f t="shared" si="24"/>
        <v>74</v>
      </c>
    </row>
    <row r="276" spans="1:22" x14ac:dyDescent="0.3">
      <c r="A276" s="1" t="s">
        <v>641</v>
      </c>
      <c r="B276" s="1" t="s">
        <v>642</v>
      </c>
      <c r="C276" s="1" t="s">
        <v>106</v>
      </c>
      <c r="D276">
        <v>59</v>
      </c>
      <c r="E276" s="1" t="s">
        <v>144</v>
      </c>
      <c r="F276" s="1" t="s">
        <v>145</v>
      </c>
      <c r="G276" s="1" t="s">
        <v>40</v>
      </c>
      <c r="H276">
        <v>21</v>
      </c>
      <c r="I276">
        <v>100</v>
      </c>
      <c r="J276">
        <v>0</v>
      </c>
      <c r="L276">
        <v>0.7</v>
      </c>
      <c r="M276" s="1" t="s">
        <v>77</v>
      </c>
      <c r="N276" s="1" t="s">
        <v>29</v>
      </c>
      <c r="O276">
        <v>17</v>
      </c>
      <c r="P276">
        <v>7</v>
      </c>
      <c r="Q276" t="str">
        <f t="shared" si="21"/>
        <v>WILLIAM GAINES</v>
      </c>
      <c r="R276" t="str">
        <f t="shared" si="22"/>
        <v>france</v>
      </c>
      <c r="S276" t="str">
        <f>PROPER(global_freelancer_raw[[#This Row],[NAME UPPER]])</f>
        <v>William Gaines</v>
      </c>
      <c r="T276" t="str">
        <f t="shared" si="23"/>
        <v>Fr</v>
      </c>
      <c r="U276" t="str">
        <f t="shared" si="20"/>
        <v>iam Ga</v>
      </c>
      <c r="V276" t="str">
        <f t="shared" si="24"/>
        <v>75</v>
      </c>
    </row>
    <row r="277" spans="1:22" x14ac:dyDescent="0.3">
      <c r="A277" s="1" t="s">
        <v>643</v>
      </c>
      <c r="B277" s="1" t="s">
        <v>644</v>
      </c>
      <c r="C277" s="1" t="s">
        <v>24</v>
      </c>
      <c r="D277">
        <v>26</v>
      </c>
      <c r="E277" s="1" t="s">
        <v>184</v>
      </c>
      <c r="F277" s="1" t="s">
        <v>185</v>
      </c>
      <c r="G277" s="1" t="s">
        <v>82</v>
      </c>
      <c r="H277">
        <v>4</v>
      </c>
      <c r="I277" t="s">
        <v>28</v>
      </c>
      <c r="J277">
        <v>3.6</v>
      </c>
      <c r="K277" t="s">
        <v>168</v>
      </c>
      <c r="L277">
        <v>0.81</v>
      </c>
      <c r="M277" s="1" t="s">
        <v>51</v>
      </c>
      <c r="N277" s="1" t="s">
        <v>65</v>
      </c>
      <c r="O277">
        <v>5</v>
      </c>
      <c r="P277">
        <v>2</v>
      </c>
      <c r="Q277" t="str">
        <f t="shared" si="21"/>
        <v>HALEY YATES</v>
      </c>
      <c r="R277" t="str">
        <f t="shared" si="22"/>
        <v>china</v>
      </c>
      <c r="S277" t="str">
        <f>PROPER(global_freelancer_raw[[#This Row],[NAME UPPER]])</f>
        <v>Haley Yates</v>
      </c>
      <c r="T277" t="str">
        <f t="shared" si="23"/>
        <v>Ch</v>
      </c>
      <c r="U277" t="str">
        <f t="shared" si="20"/>
        <v>y Yate</v>
      </c>
      <c r="V277" t="str">
        <f t="shared" si="24"/>
        <v>76</v>
      </c>
    </row>
    <row r="278" spans="1:22" x14ac:dyDescent="0.3">
      <c r="A278" s="1" t="s">
        <v>645</v>
      </c>
      <c r="B278" s="1" t="s">
        <v>646</v>
      </c>
      <c r="C278" s="1" t="s">
        <v>68</v>
      </c>
      <c r="D278">
        <v>44</v>
      </c>
      <c r="E278" s="1" t="s">
        <v>133</v>
      </c>
      <c r="F278" s="1" t="s">
        <v>134</v>
      </c>
      <c r="G278" s="1" t="s">
        <v>123</v>
      </c>
      <c r="H278">
        <v>18</v>
      </c>
      <c r="I278">
        <v>20</v>
      </c>
      <c r="J278">
        <v>4.7</v>
      </c>
      <c r="K278">
        <v>1</v>
      </c>
      <c r="L278">
        <v>0.88</v>
      </c>
      <c r="M278" s="1" t="s">
        <v>51</v>
      </c>
      <c r="N278" s="1" t="s">
        <v>29</v>
      </c>
      <c r="O278">
        <v>15</v>
      </c>
      <c r="P278">
        <v>10</v>
      </c>
      <c r="Q278" t="str">
        <f t="shared" si="21"/>
        <v>RICHARD MCGUIRE</v>
      </c>
      <c r="R278" t="str">
        <f t="shared" si="22"/>
        <v>russia</v>
      </c>
      <c r="S278" t="str">
        <f>PROPER(global_freelancer_raw[[#This Row],[NAME UPPER]])</f>
        <v>Richard Mcguire</v>
      </c>
      <c r="T278" t="str">
        <f t="shared" si="23"/>
        <v>Ru</v>
      </c>
      <c r="U278" t="str">
        <f t="shared" si="20"/>
        <v>ard Mc</v>
      </c>
      <c r="V278" t="str">
        <f t="shared" si="24"/>
        <v>77</v>
      </c>
    </row>
    <row r="279" spans="1:22" x14ac:dyDescent="0.3">
      <c r="A279" s="1" t="s">
        <v>647</v>
      </c>
      <c r="B279" s="1" t="s">
        <v>648</v>
      </c>
      <c r="C279" s="1" t="s">
        <v>86</v>
      </c>
      <c r="D279">
        <v>31</v>
      </c>
      <c r="E279" s="1" t="s">
        <v>162</v>
      </c>
      <c r="F279" s="1" t="s">
        <v>163</v>
      </c>
      <c r="G279" s="1" t="s">
        <v>82</v>
      </c>
      <c r="H279">
        <v>12</v>
      </c>
      <c r="I279" t="s">
        <v>41</v>
      </c>
      <c r="K279">
        <v>1</v>
      </c>
      <c r="L279">
        <v>1</v>
      </c>
      <c r="M279" s="1" t="s">
        <v>77</v>
      </c>
      <c r="N279" s="1" t="s">
        <v>21</v>
      </c>
      <c r="O279">
        <v>15</v>
      </c>
      <c r="P279">
        <v>13</v>
      </c>
      <c r="Q279" t="str">
        <f t="shared" si="21"/>
        <v>STEPHANIE FISHER</v>
      </c>
      <c r="R279" t="str">
        <f t="shared" si="22"/>
        <v>south africa</v>
      </c>
      <c r="S279" t="str">
        <f>PROPER(global_freelancer_raw[[#This Row],[NAME UPPER]])</f>
        <v>Stephanie Fisher</v>
      </c>
      <c r="T279" t="str">
        <f t="shared" si="23"/>
        <v>So</v>
      </c>
      <c r="U279" t="str">
        <f t="shared" si="20"/>
        <v xml:space="preserve">hanie </v>
      </c>
      <c r="V279" t="str">
        <f t="shared" si="24"/>
        <v>78</v>
      </c>
    </row>
    <row r="280" spans="1:22" x14ac:dyDescent="0.3">
      <c r="A280" s="1" t="s">
        <v>649</v>
      </c>
      <c r="B280" s="1" t="s">
        <v>650</v>
      </c>
      <c r="C280" s="1" t="s">
        <v>32</v>
      </c>
      <c r="D280">
        <v>60</v>
      </c>
      <c r="E280" s="1" t="s">
        <v>69</v>
      </c>
      <c r="F280" s="1" t="s">
        <v>70</v>
      </c>
      <c r="G280" s="1" t="s">
        <v>57</v>
      </c>
      <c r="H280">
        <v>6</v>
      </c>
      <c r="J280">
        <v>3.2</v>
      </c>
      <c r="K280">
        <v>0</v>
      </c>
      <c r="L280">
        <v>95</v>
      </c>
      <c r="M280" s="1" t="s">
        <v>72</v>
      </c>
      <c r="N280" s="1" t="s">
        <v>29</v>
      </c>
      <c r="O280">
        <v>10</v>
      </c>
      <c r="P280">
        <v>5</v>
      </c>
      <c r="Q280" t="str">
        <f t="shared" si="21"/>
        <v>ANTHONY GOODWIN DDS</v>
      </c>
      <c r="R280" t="str">
        <f t="shared" si="22"/>
        <v>turkey</v>
      </c>
      <c r="S280" t="str">
        <f>PROPER(global_freelancer_raw[[#This Row],[NAME UPPER]])</f>
        <v>Anthony Goodwin Dds</v>
      </c>
      <c r="T280" t="str">
        <f t="shared" si="23"/>
        <v>Tu</v>
      </c>
      <c r="U280" t="str">
        <f t="shared" si="20"/>
        <v>ony Go</v>
      </c>
      <c r="V280" t="str">
        <f t="shared" si="24"/>
        <v>79</v>
      </c>
    </row>
    <row r="281" spans="1:22" x14ac:dyDescent="0.3">
      <c r="A281" s="1" t="s">
        <v>651</v>
      </c>
      <c r="B281" s="1" t="s">
        <v>652</v>
      </c>
      <c r="C281" s="1" t="s">
        <v>44</v>
      </c>
      <c r="D281">
        <v>23</v>
      </c>
      <c r="E281" s="1" t="s">
        <v>75</v>
      </c>
      <c r="F281" s="1" t="s">
        <v>26</v>
      </c>
      <c r="G281" s="1" t="s">
        <v>19</v>
      </c>
      <c r="H281">
        <v>4</v>
      </c>
      <c r="I281" t="s">
        <v>323</v>
      </c>
      <c r="K281">
        <v>0</v>
      </c>
      <c r="L281">
        <v>0.71</v>
      </c>
      <c r="M281" s="1" t="s">
        <v>51</v>
      </c>
      <c r="N281" s="1" t="s">
        <v>65</v>
      </c>
      <c r="O281">
        <v>3</v>
      </c>
      <c r="P281">
        <v>5</v>
      </c>
      <c r="Q281" t="str">
        <f t="shared" si="21"/>
        <v>MEAGAN WALTERS</v>
      </c>
      <c r="R281" t="str">
        <f t="shared" si="22"/>
        <v>uk</v>
      </c>
      <c r="S281" t="str">
        <f>PROPER(global_freelancer_raw[[#This Row],[NAME UPPER]])</f>
        <v>Meagan Walters</v>
      </c>
      <c r="T281" t="str">
        <f t="shared" si="23"/>
        <v>UK</v>
      </c>
      <c r="U281" t="str">
        <f t="shared" si="20"/>
        <v>an Wal</v>
      </c>
      <c r="V281" t="str">
        <f t="shared" si="24"/>
        <v>80</v>
      </c>
    </row>
    <row r="282" spans="1:22" x14ac:dyDescent="0.3">
      <c r="A282" s="1" t="s">
        <v>653</v>
      </c>
      <c r="B282" s="1" t="s">
        <v>654</v>
      </c>
      <c r="C282" s="1" t="s">
        <v>101</v>
      </c>
      <c r="D282">
        <v>42</v>
      </c>
      <c r="E282" s="1" t="s">
        <v>55</v>
      </c>
      <c r="F282" s="1" t="s">
        <v>56</v>
      </c>
      <c r="G282" s="1" t="s">
        <v>82</v>
      </c>
      <c r="H282">
        <v>13</v>
      </c>
      <c r="I282" t="s">
        <v>130</v>
      </c>
      <c r="J282">
        <v>4.7</v>
      </c>
      <c r="K282" t="s">
        <v>35</v>
      </c>
      <c r="L282">
        <v>0.85</v>
      </c>
      <c r="M282" s="1" t="s">
        <v>72</v>
      </c>
      <c r="N282" s="1" t="s">
        <v>36</v>
      </c>
      <c r="O282">
        <v>9</v>
      </c>
      <c r="P282">
        <v>3</v>
      </c>
      <c r="Q282" t="str">
        <f t="shared" si="21"/>
        <v>DAVID POWELL</v>
      </c>
      <c r="R282" t="str">
        <f t="shared" si="22"/>
        <v>indonesia</v>
      </c>
      <c r="S282" t="str">
        <f>PROPER(global_freelancer_raw[[#This Row],[NAME UPPER]])</f>
        <v>David Powell</v>
      </c>
      <c r="T282" t="str">
        <f t="shared" si="23"/>
        <v>In</v>
      </c>
      <c r="U282" t="str">
        <f t="shared" si="20"/>
        <v>d Powe</v>
      </c>
      <c r="V282" t="str">
        <f t="shared" si="24"/>
        <v>81</v>
      </c>
    </row>
    <row r="283" spans="1:22" x14ac:dyDescent="0.3">
      <c r="A283" s="1" t="s">
        <v>655</v>
      </c>
      <c r="B283" s="1" t="s">
        <v>656</v>
      </c>
      <c r="C283" s="1" t="s">
        <v>16</v>
      </c>
      <c r="D283">
        <v>48</v>
      </c>
      <c r="E283" s="1" t="s">
        <v>102</v>
      </c>
      <c r="F283" s="1" t="s">
        <v>103</v>
      </c>
      <c r="G283" s="1" t="s">
        <v>27</v>
      </c>
      <c r="H283">
        <v>6</v>
      </c>
      <c r="I283">
        <v>30</v>
      </c>
      <c r="K283" t="s">
        <v>35</v>
      </c>
      <c r="L283">
        <v>0.96</v>
      </c>
      <c r="M283" s="1" t="s">
        <v>77</v>
      </c>
      <c r="N283" s="1" t="s">
        <v>29</v>
      </c>
      <c r="O283">
        <v>11</v>
      </c>
      <c r="P283">
        <v>7</v>
      </c>
      <c r="Q283" t="str">
        <f t="shared" si="21"/>
        <v>KELLY JONES</v>
      </c>
      <c r="R283" t="str">
        <f t="shared" si="22"/>
        <v>india</v>
      </c>
      <c r="S283" t="str">
        <f>PROPER(global_freelancer_raw[[#This Row],[NAME UPPER]])</f>
        <v>Kelly Jones</v>
      </c>
      <c r="T283" t="str">
        <f t="shared" si="23"/>
        <v>In</v>
      </c>
      <c r="U283" t="str">
        <f t="shared" si="20"/>
        <v>y Jone</v>
      </c>
      <c r="V283" t="str">
        <f t="shared" si="24"/>
        <v>82</v>
      </c>
    </row>
    <row r="284" spans="1:22" x14ac:dyDescent="0.3">
      <c r="A284" s="1" t="s">
        <v>657</v>
      </c>
      <c r="B284" s="1" t="s">
        <v>658</v>
      </c>
      <c r="C284" s="1" t="s">
        <v>54</v>
      </c>
      <c r="D284">
        <v>42</v>
      </c>
      <c r="E284" s="1" t="s">
        <v>47</v>
      </c>
      <c r="F284" s="1" t="s">
        <v>48</v>
      </c>
      <c r="G284" s="1" t="s">
        <v>34</v>
      </c>
      <c r="H284">
        <v>10</v>
      </c>
      <c r="I284" t="s">
        <v>323</v>
      </c>
      <c r="J284">
        <v>2.4</v>
      </c>
      <c r="K284" t="s">
        <v>83</v>
      </c>
      <c r="L284">
        <v>0.92</v>
      </c>
      <c r="M284" s="1" t="s">
        <v>77</v>
      </c>
      <c r="N284" s="1" t="s">
        <v>29</v>
      </c>
      <c r="O284">
        <v>11</v>
      </c>
      <c r="P284">
        <v>6</v>
      </c>
      <c r="Q284" t="str">
        <f t="shared" si="21"/>
        <v>DR. MICHAEL AGUILAR</v>
      </c>
      <c r="R284" t="str">
        <f t="shared" si="22"/>
        <v>netherlands</v>
      </c>
      <c r="S284" t="str">
        <f>PROPER(global_freelancer_raw[[#This Row],[NAME UPPER]])</f>
        <v>Dr. Michael Aguilar</v>
      </c>
      <c r="T284" t="str">
        <f t="shared" si="23"/>
        <v>Ne</v>
      </c>
      <c r="U284" t="str">
        <f t="shared" si="20"/>
        <v>Michae</v>
      </c>
      <c r="V284" t="str">
        <f t="shared" si="24"/>
        <v>83</v>
      </c>
    </row>
    <row r="285" spans="1:22" x14ac:dyDescent="0.3">
      <c r="A285" s="1" t="s">
        <v>659</v>
      </c>
      <c r="B285" s="1" t="s">
        <v>660</v>
      </c>
      <c r="C285" s="1" t="s">
        <v>101</v>
      </c>
      <c r="D285">
        <v>52</v>
      </c>
      <c r="E285" s="1" t="s">
        <v>121</v>
      </c>
      <c r="F285" s="1" t="s">
        <v>122</v>
      </c>
      <c r="G285" s="1" t="s">
        <v>87</v>
      </c>
      <c r="H285">
        <v>20</v>
      </c>
      <c r="I285">
        <v>50</v>
      </c>
      <c r="K285" t="b">
        <v>0</v>
      </c>
      <c r="L285">
        <v>0.79</v>
      </c>
      <c r="M285" s="1" t="s">
        <v>20</v>
      </c>
      <c r="N285" s="1" t="s">
        <v>65</v>
      </c>
      <c r="O285">
        <v>14</v>
      </c>
      <c r="P285">
        <v>10</v>
      </c>
      <c r="Q285" t="str">
        <f t="shared" si="21"/>
        <v>ALEX NOVAK</v>
      </c>
      <c r="R285" t="str">
        <f t="shared" si="22"/>
        <v>south korea</v>
      </c>
      <c r="S285" t="str">
        <f>PROPER(global_freelancer_raw[[#This Row],[NAME UPPER]])</f>
        <v>Alex Novak</v>
      </c>
      <c r="T285" t="str">
        <f t="shared" si="23"/>
        <v>So</v>
      </c>
      <c r="U285" t="str">
        <f t="shared" si="20"/>
        <v xml:space="preserve"> Novak</v>
      </c>
      <c r="V285" t="str">
        <f t="shared" si="24"/>
        <v>84</v>
      </c>
    </row>
    <row r="286" spans="1:22" x14ac:dyDescent="0.3">
      <c r="A286" s="1" t="s">
        <v>661</v>
      </c>
      <c r="B286" s="1" t="s">
        <v>662</v>
      </c>
      <c r="C286" s="1" t="s">
        <v>44</v>
      </c>
      <c r="D286">
        <v>55</v>
      </c>
      <c r="E286" s="1" t="s">
        <v>94</v>
      </c>
      <c r="F286" s="1" t="s">
        <v>95</v>
      </c>
      <c r="G286" s="1" t="s">
        <v>40</v>
      </c>
      <c r="H286">
        <v>20</v>
      </c>
      <c r="I286">
        <v>75</v>
      </c>
      <c r="J286">
        <v>2.9</v>
      </c>
      <c r="K286" t="b">
        <v>0</v>
      </c>
      <c r="M286" s="1" t="s">
        <v>51</v>
      </c>
      <c r="N286" s="1" t="s">
        <v>65</v>
      </c>
      <c r="O286">
        <v>12</v>
      </c>
      <c r="P286">
        <v>11</v>
      </c>
      <c r="Q286" t="str">
        <f t="shared" si="21"/>
        <v>ANN CONTRERAS</v>
      </c>
      <c r="R286" t="str">
        <f t="shared" si="22"/>
        <v>japan</v>
      </c>
      <c r="S286" t="str">
        <f>PROPER(global_freelancer_raw[[#This Row],[NAME UPPER]])</f>
        <v>Ann Contreras</v>
      </c>
      <c r="T286" t="str">
        <f t="shared" si="23"/>
        <v>Ja</v>
      </c>
      <c r="U286" t="str">
        <f t="shared" si="20"/>
        <v>Contre</v>
      </c>
      <c r="V286" t="str">
        <f t="shared" si="24"/>
        <v>85</v>
      </c>
    </row>
    <row r="287" spans="1:22" x14ac:dyDescent="0.3">
      <c r="A287" s="1" t="s">
        <v>663</v>
      </c>
      <c r="B287" s="1" t="s">
        <v>664</v>
      </c>
      <c r="C287" s="1" t="s">
        <v>16</v>
      </c>
      <c r="D287">
        <v>58</v>
      </c>
      <c r="E287" s="1" t="s">
        <v>162</v>
      </c>
      <c r="F287" s="1" t="s">
        <v>163</v>
      </c>
      <c r="G287" s="1" t="s">
        <v>87</v>
      </c>
      <c r="H287">
        <v>11</v>
      </c>
      <c r="I287">
        <v>50</v>
      </c>
      <c r="J287">
        <v>0</v>
      </c>
      <c r="K287">
        <v>0</v>
      </c>
      <c r="M287" s="1" t="s">
        <v>77</v>
      </c>
      <c r="N287" s="1" t="s">
        <v>29</v>
      </c>
      <c r="O287">
        <v>8</v>
      </c>
      <c r="P287">
        <v>5</v>
      </c>
      <c r="Q287" t="str">
        <f t="shared" si="21"/>
        <v>MARY REED</v>
      </c>
      <c r="R287" t="str">
        <f t="shared" si="22"/>
        <v>south africa</v>
      </c>
      <c r="S287" t="str">
        <f>PROPER(global_freelancer_raw[[#This Row],[NAME UPPER]])</f>
        <v>Mary Reed</v>
      </c>
      <c r="T287" t="str">
        <f t="shared" si="23"/>
        <v>So</v>
      </c>
      <c r="U287" t="str">
        <f t="shared" si="20"/>
        <v xml:space="preserve"> Reed</v>
      </c>
      <c r="V287" t="str">
        <f t="shared" si="24"/>
        <v>86</v>
      </c>
    </row>
    <row r="288" spans="1:22" x14ac:dyDescent="0.3">
      <c r="A288" s="1" t="s">
        <v>665</v>
      </c>
      <c r="B288" s="1" t="s">
        <v>666</v>
      </c>
      <c r="C288" s="1" t="s">
        <v>24</v>
      </c>
      <c r="D288">
        <v>46</v>
      </c>
      <c r="E288" s="1" t="s">
        <v>121</v>
      </c>
      <c r="F288" s="1" t="s">
        <v>122</v>
      </c>
      <c r="G288" s="1" t="s">
        <v>123</v>
      </c>
      <c r="H288">
        <v>12</v>
      </c>
      <c r="I288">
        <v>20</v>
      </c>
      <c r="J288">
        <v>0</v>
      </c>
      <c r="K288" t="b">
        <v>0</v>
      </c>
      <c r="L288">
        <v>0.89</v>
      </c>
      <c r="M288" s="1" t="s">
        <v>20</v>
      </c>
      <c r="N288" s="1" t="s">
        <v>21</v>
      </c>
      <c r="O288">
        <v>10</v>
      </c>
      <c r="P288">
        <v>4</v>
      </c>
      <c r="Q288" t="str">
        <f t="shared" si="21"/>
        <v>LAUREN ROSS</v>
      </c>
      <c r="R288" t="str">
        <f t="shared" si="22"/>
        <v>south korea</v>
      </c>
      <c r="S288" t="str">
        <f>PROPER(global_freelancer_raw[[#This Row],[NAME UPPER]])</f>
        <v>Lauren Ross</v>
      </c>
      <c r="T288" t="str">
        <f t="shared" si="23"/>
        <v>So</v>
      </c>
      <c r="U288" t="str">
        <f t="shared" si="20"/>
        <v>en Ros</v>
      </c>
      <c r="V288" t="str">
        <f t="shared" si="24"/>
        <v>87</v>
      </c>
    </row>
    <row r="289" spans="1:22" x14ac:dyDescent="0.3">
      <c r="A289" s="1" t="s">
        <v>667</v>
      </c>
      <c r="B289" s="1" t="s">
        <v>668</v>
      </c>
      <c r="C289" s="1" t="s">
        <v>24</v>
      </c>
      <c r="D289">
        <v>45</v>
      </c>
      <c r="E289" s="1" t="s">
        <v>199</v>
      </c>
      <c r="F289" s="1" t="s">
        <v>81</v>
      </c>
      <c r="G289" s="1" t="s">
        <v>123</v>
      </c>
      <c r="H289">
        <v>1</v>
      </c>
      <c r="I289">
        <v>100</v>
      </c>
      <c r="J289">
        <v>1.5</v>
      </c>
      <c r="K289">
        <v>1</v>
      </c>
      <c r="L289">
        <v>1</v>
      </c>
      <c r="M289" s="1" t="s">
        <v>51</v>
      </c>
      <c r="N289" s="1" t="s">
        <v>29</v>
      </c>
      <c r="O289">
        <v>4</v>
      </c>
      <c r="P289">
        <v>4</v>
      </c>
      <c r="Q289" t="str">
        <f t="shared" si="21"/>
        <v>CANDICE WISE</v>
      </c>
      <c r="R289" t="str">
        <f t="shared" si="22"/>
        <v>spain</v>
      </c>
      <c r="S289" t="str">
        <f>PROPER(global_freelancer_raw[[#This Row],[NAME UPPER]])</f>
        <v>Candice Wise</v>
      </c>
      <c r="T289" t="str">
        <f t="shared" si="23"/>
        <v>Sp</v>
      </c>
      <c r="U289" t="str">
        <f t="shared" si="20"/>
        <v>ice Wi</v>
      </c>
      <c r="V289" t="str">
        <f t="shared" si="24"/>
        <v>88</v>
      </c>
    </row>
    <row r="290" spans="1:22" x14ac:dyDescent="0.3">
      <c r="A290" s="1" t="s">
        <v>669</v>
      </c>
      <c r="B290" s="1" t="s">
        <v>670</v>
      </c>
      <c r="C290" s="1" t="s">
        <v>24</v>
      </c>
      <c r="D290">
        <v>56</v>
      </c>
      <c r="E290" s="1" t="s">
        <v>102</v>
      </c>
      <c r="F290" s="1" t="s">
        <v>103</v>
      </c>
      <c r="G290" s="1" t="s">
        <v>123</v>
      </c>
      <c r="H290">
        <v>2</v>
      </c>
      <c r="I290">
        <v>30</v>
      </c>
      <c r="J290">
        <v>1.9</v>
      </c>
      <c r="K290">
        <v>1</v>
      </c>
      <c r="L290">
        <v>0.81</v>
      </c>
      <c r="M290" s="1" t="s">
        <v>77</v>
      </c>
      <c r="N290" s="1" t="s">
        <v>65</v>
      </c>
      <c r="O290">
        <v>1</v>
      </c>
      <c r="P290">
        <v>1</v>
      </c>
      <c r="Q290" t="str">
        <f t="shared" si="21"/>
        <v>JOYCE HUMPHREY</v>
      </c>
      <c r="R290" t="str">
        <f t="shared" si="22"/>
        <v>india</v>
      </c>
      <c r="S290" t="str">
        <f>PROPER(global_freelancer_raw[[#This Row],[NAME UPPER]])</f>
        <v>Joyce Humphrey</v>
      </c>
      <c r="T290" t="str">
        <f t="shared" si="23"/>
        <v>In</v>
      </c>
      <c r="U290" t="str">
        <f t="shared" si="20"/>
        <v>e Hump</v>
      </c>
      <c r="V290" t="str">
        <f t="shared" si="24"/>
        <v>89</v>
      </c>
    </row>
    <row r="291" spans="1:22" x14ac:dyDescent="0.3">
      <c r="A291" s="1" t="s">
        <v>671</v>
      </c>
      <c r="B291" s="1" t="s">
        <v>672</v>
      </c>
      <c r="C291" s="1" t="s">
        <v>32</v>
      </c>
      <c r="D291">
        <v>44</v>
      </c>
      <c r="E291" s="1" t="s">
        <v>75</v>
      </c>
      <c r="F291" s="1" t="s">
        <v>26</v>
      </c>
      <c r="G291" s="1" t="s">
        <v>19</v>
      </c>
      <c r="H291">
        <v>13</v>
      </c>
      <c r="I291">
        <v>100</v>
      </c>
      <c r="J291">
        <v>3.1</v>
      </c>
      <c r="K291" t="s">
        <v>83</v>
      </c>
      <c r="L291">
        <v>95</v>
      </c>
      <c r="M291" s="1" t="s">
        <v>77</v>
      </c>
      <c r="N291" s="1" t="s">
        <v>36</v>
      </c>
      <c r="O291">
        <v>10</v>
      </c>
      <c r="P291">
        <v>3</v>
      </c>
      <c r="Q291" t="str">
        <f t="shared" si="21"/>
        <v>JAMES CARR</v>
      </c>
      <c r="R291" t="str">
        <f t="shared" si="22"/>
        <v>uk</v>
      </c>
      <c r="S291" t="str">
        <f>PROPER(global_freelancer_raw[[#This Row],[NAME UPPER]])</f>
        <v>James Carr</v>
      </c>
      <c r="T291" t="str">
        <f t="shared" si="23"/>
        <v>UK</v>
      </c>
      <c r="U291" t="str">
        <f t="shared" si="20"/>
        <v>s Carr</v>
      </c>
      <c r="V291" t="str">
        <f t="shared" si="24"/>
        <v>90</v>
      </c>
    </row>
    <row r="292" spans="1:22" x14ac:dyDescent="0.3">
      <c r="A292" s="1" t="s">
        <v>673</v>
      </c>
      <c r="B292" s="1" t="s">
        <v>674</v>
      </c>
      <c r="C292" s="1" t="s">
        <v>106</v>
      </c>
      <c r="D292">
        <v>46</v>
      </c>
      <c r="E292" s="1" t="s">
        <v>55</v>
      </c>
      <c r="F292" s="1" t="s">
        <v>56</v>
      </c>
      <c r="G292" s="1" t="s">
        <v>82</v>
      </c>
      <c r="H292">
        <v>0</v>
      </c>
      <c r="J292">
        <v>1.8</v>
      </c>
      <c r="K292" t="s">
        <v>35</v>
      </c>
      <c r="L292">
        <v>0.88</v>
      </c>
      <c r="M292" s="1" t="s">
        <v>51</v>
      </c>
      <c r="N292" s="1" t="s">
        <v>36</v>
      </c>
      <c r="O292">
        <v>3</v>
      </c>
      <c r="P292">
        <v>2</v>
      </c>
      <c r="Q292" t="str">
        <f t="shared" si="21"/>
        <v>JOSEPH MENDOZA</v>
      </c>
      <c r="R292" t="str">
        <f t="shared" si="22"/>
        <v>indonesia</v>
      </c>
      <c r="S292" t="str">
        <f>PROPER(global_freelancer_raw[[#This Row],[NAME UPPER]])</f>
        <v>Joseph Mendoza</v>
      </c>
      <c r="T292" t="str">
        <f t="shared" si="23"/>
        <v>In</v>
      </c>
      <c r="U292" t="str">
        <f t="shared" si="20"/>
        <v>ph Men</v>
      </c>
      <c r="V292" t="str">
        <f t="shared" si="24"/>
        <v>91</v>
      </c>
    </row>
    <row r="293" spans="1:22" x14ac:dyDescent="0.3">
      <c r="A293" s="1" t="s">
        <v>675</v>
      </c>
      <c r="B293" s="1" t="s">
        <v>676</v>
      </c>
      <c r="C293" s="1" t="s">
        <v>86</v>
      </c>
      <c r="D293">
        <v>27</v>
      </c>
      <c r="E293" s="1" t="s">
        <v>94</v>
      </c>
      <c r="F293" s="1" t="s">
        <v>95</v>
      </c>
      <c r="G293" s="1" t="s">
        <v>40</v>
      </c>
      <c r="H293">
        <v>7</v>
      </c>
      <c r="I293">
        <v>30</v>
      </c>
      <c r="J293">
        <v>2.4</v>
      </c>
      <c r="K293" t="s">
        <v>76</v>
      </c>
      <c r="L293">
        <v>0.66</v>
      </c>
      <c r="M293" s="1" t="s">
        <v>51</v>
      </c>
      <c r="N293" s="1" t="s">
        <v>21</v>
      </c>
      <c r="O293">
        <v>12</v>
      </c>
      <c r="P293">
        <v>8</v>
      </c>
      <c r="Q293" t="str">
        <f t="shared" si="21"/>
        <v>CATHY BALDWIN</v>
      </c>
      <c r="R293" t="str">
        <f t="shared" si="22"/>
        <v>japan</v>
      </c>
      <c r="S293" t="str">
        <f>PROPER(global_freelancer_raw[[#This Row],[NAME UPPER]])</f>
        <v>Cathy Baldwin</v>
      </c>
      <c r="T293" t="str">
        <f t="shared" si="23"/>
        <v>Ja</v>
      </c>
      <c r="U293" t="str">
        <f t="shared" si="20"/>
        <v>y Bald</v>
      </c>
      <c r="V293" t="str">
        <f t="shared" si="24"/>
        <v>92</v>
      </c>
    </row>
    <row r="294" spans="1:22" x14ac:dyDescent="0.3">
      <c r="A294" s="1" t="s">
        <v>677</v>
      </c>
      <c r="B294" s="1" t="s">
        <v>678</v>
      </c>
      <c r="C294" s="1" t="s">
        <v>24</v>
      </c>
      <c r="D294">
        <v>49</v>
      </c>
      <c r="E294" s="1" t="s">
        <v>102</v>
      </c>
      <c r="F294" s="1" t="s">
        <v>103</v>
      </c>
      <c r="G294" s="1" t="s">
        <v>19</v>
      </c>
      <c r="H294">
        <v>13</v>
      </c>
      <c r="I294">
        <v>100</v>
      </c>
      <c r="J294">
        <v>4.2</v>
      </c>
      <c r="K294">
        <v>1</v>
      </c>
      <c r="L294">
        <v>0.84</v>
      </c>
      <c r="M294" s="1" t="s">
        <v>51</v>
      </c>
      <c r="N294" s="1" t="s">
        <v>29</v>
      </c>
      <c r="O294">
        <v>7</v>
      </c>
      <c r="P294">
        <v>4</v>
      </c>
      <c r="Q294" t="str">
        <f t="shared" si="21"/>
        <v>CHRISTINE HART</v>
      </c>
      <c r="R294" t="str">
        <f t="shared" si="22"/>
        <v>india</v>
      </c>
      <c r="S294" t="str">
        <f>PROPER(global_freelancer_raw[[#This Row],[NAME UPPER]])</f>
        <v>Christine Hart</v>
      </c>
      <c r="T294" t="str">
        <f t="shared" si="23"/>
        <v>In</v>
      </c>
      <c r="U294" t="str">
        <f t="shared" si="20"/>
        <v xml:space="preserve">stine </v>
      </c>
      <c r="V294" t="str">
        <f t="shared" si="24"/>
        <v>93</v>
      </c>
    </row>
    <row r="295" spans="1:22" x14ac:dyDescent="0.3">
      <c r="A295" s="1" t="s">
        <v>679</v>
      </c>
      <c r="B295" s="1" t="s">
        <v>680</v>
      </c>
      <c r="C295" s="1" t="s">
        <v>106</v>
      </c>
      <c r="D295">
        <v>53</v>
      </c>
      <c r="E295" s="1" t="s">
        <v>188</v>
      </c>
      <c r="F295" s="1" t="s">
        <v>81</v>
      </c>
      <c r="G295" s="1" t="s">
        <v>40</v>
      </c>
      <c r="H295">
        <v>21</v>
      </c>
      <c r="I295" t="s">
        <v>71</v>
      </c>
      <c r="J295">
        <v>1.4</v>
      </c>
      <c r="K295" t="s">
        <v>35</v>
      </c>
      <c r="M295" s="1" t="s">
        <v>77</v>
      </c>
      <c r="N295" s="1" t="s">
        <v>36</v>
      </c>
      <c r="O295">
        <v>20</v>
      </c>
      <c r="P295">
        <v>7</v>
      </c>
      <c r="Q295" t="str">
        <f t="shared" si="21"/>
        <v>MIKE STANLEY</v>
      </c>
      <c r="R295" t="str">
        <f t="shared" si="22"/>
        <v>mexico</v>
      </c>
      <c r="S295" t="str">
        <f>PROPER(global_freelancer_raw[[#This Row],[NAME UPPER]])</f>
        <v>Mike Stanley</v>
      </c>
      <c r="T295" t="str">
        <f t="shared" si="23"/>
        <v>Me</v>
      </c>
      <c r="U295" t="str">
        <f t="shared" si="20"/>
        <v xml:space="preserve"> Stanl</v>
      </c>
      <c r="V295" t="str">
        <f t="shared" si="24"/>
        <v>94</v>
      </c>
    </row>
    <row r="296" spans="1:22" x14ac:dyDescent="0.3">
      <c r="A296" s="1" t="s">
        <v>681</v>
      </c>
      <c r="B296" s="1" t="s">
        <v>682</v>
      </c>
      <c r="C296" s="1" t="s">
        <v>106</v>
      </c>
      <c r="D296">
        <v>56</v>
      </c>
      <c r="E296" s="1" t="s">
        <v>25</v>
      </c>
      <c r="F296" s="1" t="s">
        <v>26</v>
      </c>
      <c r="G296" s="1" t="s">
        <v>40</v>
      </c>
      <c r="H296">
        <v>19</v>
      </c>
      <c r="I296">
        <v>40</v>
      </c>
      <c r="J296">
        <v>1.2</v>
      </c>
      <c r="K296" t="s">
        <v>83</v>
      </c>
      <c r="L296">
        <v>0.82</v>
      </c>
      <c r="M296" s="1" t="s">
        <v>77</v>
      </c>
      <c r="N296" s="1" t="s">
        <v>29</v>
      </c>
      <c r="O296">
        <v>11</v>
      </c>
      <c r="P296">
        <v>3</v>
      </c>
      <c r="Q296" t="str">
        <f t="shared" si="21"/>
        <v>JEFFREY EDWARDS</v>
      </c>
      <c r="R296" t="str">
        <f t="shared" si="22"/>
        <v>australia</v>
      </c>
      <c r="S296" t="str">
        <f>PROPER(global_freelancer_raw[[#This Row],[NAME UPPER]])</f>
        <v>Jeffrey Edwards</v>
      </c>
      <c r="T296" t="str">
        <f t="shared" si="23"/>
        <v>Au</v>
      </c>
      <c r="U296" t="str">
        <f t="shared" si="20"/>
        <v>rey Ed</v>
      </c>
      <c r="V296" t="str">
        <f t="shared" si="24"/>
        <v>95</v>
      </c>
    </row>
    <row r="297" spans="1:22" x14ac:dyDescent="0.3">
      <c r="A297" s="1" t="s">
        <v>683</v>
      </c>
      <c r="B297" s="1" t="s">
        <v>684</v>
      </c>
      <c r="C297" s="1" t="s">
        <v>24</v>
      </c>
      <c r="D297">
        <v>56</v>
      </c>
      <c r="E297" s="1" t="s">
        <v>75</v>
      </c>
      <c r="F297" s="1" t="s">
        <v>26</v>
      </c>
      <c r="G297" s="1" t="s">
        <v>98</v>
      </c>
      <c r="H297">
        <v>34</v>
      </c>
      <c r="J297">
        <v>2.1</v>
      </c>
      <c r="K297" t="s">
        <v>76</v>
      </c>
      <c r="L297">
        <v>0.84</v>
      </c>
      <c r="M297" s="1" t="s">
        <v>20</v>
      </c>
      <c r="N297" s="1" t="s">
        <v>65</v>
      </c>
      <c r="O297">
        <v>17</v>
      </c>
      <c r="P297">
        <v>11</v>
      </c>
      <c r="Q297" t="str">
        <f t="shared" si="21"/>
        <v>AMY LEE</v>
      </c>
      <c r="R297" t="str">
        <f t="shared" si="22"/>
        <v>uk</v>
      </c>
      <c r="S297" t="str">
        <f>PROPER(global_freelancer_raw[[#This Row],[NAME UPPER]])</f>
        <v>Amy Lee</v>
      </c>
      <c r="T297" t="str">
        <f t="shared" si="23"/>
        <v>UK</v>
      </c>
      <c r="U297" t="str">
        <f t="shared" si="20"/>
        <v>Lee</v>
      </c>
      <c r="V297" t="str">
        <f t="shared" si="24"/>
        <v>96</v>
      </c>
    </row>
    <row r="298" spans="1:22" x14ac:dyDescent="0.3">
      <c r="A298" s="1" t="s">
        <v>685</v>
      </c>
      <c r="B298" s="1" t="s">
        <v>686</v>
      </c>
      <c r="C298" s="1" t="s">
        <v>68</v>
      </c>
      <c r="D298">
        <v>38</v>
      </c>
      <c r="E298" s="1" t="s">
        <v>162</v>
      </c>
      <c r="F298" s="1" t="s">
        <v>163</v>
      </c>
      <c r="G298" s="1" t="s">
        <v>57</v>
      </c>
      <c r="H298">
        <v>3</v>
      </c>
      <c r="I298">
        <v>100</v>
      </c>
      <c r="J298">
        <v>1.4</v>
      </c>
      <c r="K298" t="b">
        <v>0</v>
      </c>
      <c r="L298">
        <v>0.73</v>
      </c>
      <c r="M298" s="1" t="s">
        <v>72</v>
      </c>
      <c r="N298" s="1" t="s">
        <v>36</v>
      </c>
      <c r="O298">
        <v>3</v>
      </c>
      <c r="P298">
        <v>5</v>
      </c>
      <c r="Q298" t="str">
        <f t="shared" si="21"/>
        <v>MARK THOMPSON</v>
      </c>
      <c r="R298" t="str">
        <f t="shared" si="22"/>
        <v>south africa</v>
      </c>
      <c r="S298" t="str">
        <f>PROPER(global_freelancer_raw[[#This Row],[NAME UPPER]])</f>
        <v>Mark Thompson</v>
      </c>
      <c r="T298" t="str">
        <f t="shared" si="23"/>
        <v>So</v>
      </c>
      <c r="U298" t="str">
        <f t="shared" si="20"/>
        <v xml:space="preserve"> Thomp</v>
      </c>
      <c r="V298" t="str">
        <f t="shared" si="24"/>
        <v>97</v>
      </c>
    </row>
    <row r="299" spans="1:22" x14ac:dyDescent="0.3">
      <c r="A299" s="1" t="s">
        <v>687</v>
      </c>
      <c r="B299" s="1" t="s">
        <v>688</v>
      </c>
      <c r="C299" s="1" t="s">
        <v>101</v>
      </c>
      <c r="D299">
        <v>20</v>
      </c>
      <c r="E299" s="1" t="s">
        <v>121</v>
      </c>
      <c r="F299" s="1" t="s">
        <v>122</v>
      </c>
      <c r="G299" s="1" t="s">
        <v>27</v>
      </c>
      <c r="H299">
        <v>0</v>
      </c>
      <c r="I299">
        <v>30</v>
      </c>
      <c r="J299">
        <v>3.8</v>
      </c>
      <c r="L299">
        <v>0.93</v>
      </c>
      <c r="M299" s="1" t="s">
        <v>51</v>
      </c>
      <c r="N299" s="1" t="s">
        <v>21</v>
      </c>
      <c r="O299">
        <v>5</v>
      </c>
      <c r="P299">
        <v>2</v>
      </c>
      <c r="Q299" t="str">
        <f t="shared" si="21"/>
        <v>ALEX WILSON</v>
      </c>
      <c r="R299" t="str">
        <f t="shared" si="22"/>
        <v>south korea</v>
      </c>
      <c r="S299" t="str">
        <f>PROPER(global_freelancer_raw[[#This Row],[NAME UPPER]])</f>
        <v>Alex Wilson</v>
      </c>
      <c r="T299" t="str">
        <f t="shared" si="23"/>
        <v>So</v>
      </c>
      <c r="U299" t="str">
        <f t="shared" si="20"/>
        <v xml:space="preserve"> Wilso</v>
      </c>
      <c r="V299" t="str">
        <f t="shared" si="24"/>
        <v>98</v>
      </c>
    </row>
    <row r="300" spans="1:22" x14ac:dyDescent="0.3">
      <c r="A300" s="1" t="s">
        <v>689</v>
      </c>
      <c r="B300" s="1" t="s">
        <v>690</v>
      </c>
      <c r="C300" s="1" t="s">
        <v>44</v>
      </c>
      <c r="D300">
        <v>38</v>
      </c>
      <c r="E300" s="1" t="s">
        <v>137</v>
      </c>
      <c r="F300" s="1" t="s">
        <v>26</v>
      </c>
      <c r="G300" s="1" t="s">
        <v>123</v>
      </c>
      <c r="H300">
        <v>20</v>
      </c>
      <c r="I300">
        <v>50</v>
      </c>
      <c r="J300">
        <v>0</v>
      </c>
      <c r="L300">
        <v>0.64</v>
      </c>
      <c r="M300" s="1" t="s">
        <v>77</v>
      </c>
      <c r="N300" s="1" t="s">
        <v>65</v>
      </c>
      <c r="O300">
        <v>10</v>
      </c>
      <c r="P300">
        <v>2</v>
      </c>
      <c r="Q300" t="str">
        <f t="shared" si="21"/>
        <v>NANCY MENDEZ</v>
      </c>
      <c r="R300" t="str">
        <f t="shared" si="22"/>
        <v>canada</v>
      </c>
      <c r="S300" t="str">
        <f>PROPER(global_freelancer_raw[[#This Row],[NAME UPPER]])</f>
        <v>Nancy Mendez</v>
      </c>
      <c r="T300" t="str">
        <f t="shared" si="23"/>
        <v>Ca</v>
      </c>
      <c r="U300" t="str">
        <f t="shared" si="20"/>
        <v>y Mend</v>
      </c>
      <c r="V300" t="str">
        <f t="shared" si="24"/>
        <v>99</v>
      </c>
    </row>
    <row r="301" spans="1:22" x14ac:dyDescent="0.3">
      <c r="A301" s="1" t="s">
        <v>691</v>
      </c>
      <c r="B301" s="1" t="s">
        <v>692</v>
      </c>
      <c r="C301" s="1" t="s">
        <v>16</v>
      </c>
      <c r="E301" s="1" t="s">
        <v>47</v>
      </c>
      <c r="F301" s="1" t="s">
        <v>48</v>
      </c>
      <c r="G301" s="1" t="s">
        <v>27</v>
      </c>
      <c r="H301">
        <v>6</v>
      </c>
      <c r="I301">
        <v>40</v>
      </c>
      <c r="J301">
        <v>3.5</v>
      </c>
      <c r="K301">
        <v>0</v>
      </c>
      <c r="L301">
        <v>0.76</v>
      </c>
      <c r="M301" s="1" t="s">
        <v>77</v>
      </c>
      <c r="N301" s="1" t="s">
        <v>21</v>
      </c>
      <c r="O301">
        <v>15</v>
      </c>
      <c r="P301">
        <v>6</v>
      </c>
      <c r="Q301" t="str">
        <f t="shared" si="21"/>
        <v>BETH CRANE</v>
      </c>
      <c r="R301" t="str">
        <f t="shared" si="22"/>
        <v>netherlands</v>
      </c>
      <c r="S301" t="str">
        <f>PROPER(global_freelancer_raw[[#This Row],[NAME UPPER]])</f>
        <v>Beth Crane</v>
      </c>
      <c r="T301" t="str">
        <f t="shared" si="23"/>
        <v>Ne</v>
      </c>
      <c r="U301" t="str">
        <f t="shared" si="20"/>
        <v xml:space="preserve"> Crane</v>
      </c>
      <c r="V301" t="str">
        <f t="shared" si="24"/>
        <v>00</v>
      </c>
    </row>
    <row r="302" spans="1:22" x14ac:dyDescent="0.3">
      <c r="A302" s="1" t="s">
        <v>693</v>
      </c>
      <c r="B302" s="1" t="s">
        <v>694</v>
      </c>
      <c r="C302" s="1" t="s">
        <v>68</v>
      </c>
      <c r="D302">
        <v>46</v>
      </c>
      <c r="E302" s="1" t="s">
        <v>102</v>
      </c>
      <c r="F302" s="1" t="s">
        <v>103</v>
      </c>
      <c r="G302" s="1" t="s">
        <v>123</v>
      </c>
      <c r="H302">
        <v>13</v>
      </c>
      <c r="I302" t="s">
        <v>238</v>
      </c>
      <c r="J302">
        <v>0</v>
      </c>
      <c r="K302" t="s">
        <v>83</v>
      </c>
      <c r="L302">
        <v>0.97</v>
      </c>
      <c r="M302" s="1" t="s">
        <v>51</v>
      </c>
      <c r="N302" s="1" t="s">
        <v>65</v>
      </c>
      <c r="O302">
        <v>9</v>
      </c>
      <c r="P302">
        <v>12</v>
      </c>
      <c r="Q302" t="str">
        <f t="shared" si="21"/>
        <v>MIGUEL ROGERS</v>
      </c>
      <c r="R302" t="str">
        <f t="shared" si="22"/>
        <v>india</v>
      </c>
      <c r="S302" t="str">
        <f>PROPER(global_freelancer_raw[[#This Row],[NAME UPPER]])</f>
        <v>Miguel Rogers</v>
      </c>
      <c r="T302" t="str">
        <f t="shared" si="23"/>
        <v>In</v>
      </c>
      <c r="U302" t="str">
        <f t="shared" si="20"/>
        <v>el Rog</v>
      </c>
      <c r="V302" t="str">
        <f t="shared" si="24"/>
        <v>01</v>
      </c>
    </row>
    <row r="303" spans="1:22" x14ac:dyDescent="0.3">
      <c r="A303" s="1" t="s">
        <v>695</v>
      </c>
      <c r="B303" s="1" t="s">
        <v>696</v>
      </c>
      <c r="C303" s="1" t="s">
        <v>106</v>
      </c>
      <c r="D303">
        <v>36</v>
      </c>
      <c r="E303" s="1" t="s">
        <v>162</v>
      </c>
      <c r="F303" s="1" t="s">
        <v>163</v>
      </c>
      <c r="G303" s="1" t="s">
        <v>57</v>
      </c>
      <c r="H303">
        <v>9</v>
      </c>
      <c r="I303">
        <v>75</v>
      </c>
      <c r="J303">
        <v>2.2000000000000002</v>
      </c>
      <c r="K303">
        <v>0</v>
      </c>
      <c r="L303">
        <v>0.95</v>
      </c>
      <c r="M303" s="1" t="s">
        <v>72</v>
      </c>
      <c r="N303" s="1" t="s">
        <v>36</v>
      </c>
      <c r="O303">
        <v>11</v>
      </c>
      <c r="P303">
        <v>1</v>
      </c>
      <c r="Q303" t="str">
        <f t="shared" si="21"/>
        <v>THOMAS ROBLES</v>
      </c>
      <c r="R303" t="str">
        <f t="shared" si="22"/>
        <v>south africa</v>
      </c>
      <c r="S303" t="str">
        <f>PROPER(global_freelancer_raw[[#This Row],[NAME UPPER]])</f>
        <v>Thomas Robles</v>
      </c>
      <c r="T303" t="str">
        <f t="shared" si="23"/>
        <v>So</v>
      </c>
      <c r="U303" t="str">
        <f t="shared" si="20"/>
        <v>as Rob</v>
      </c>
      <c r="V303" t="str">
        <f t="shared" si="24"/>
        <v>02</v>
      </c>
    </row>
    <row r="304" spans="1:22" x14ac:dyDescent="0.3">
      <c r="A304" s="1" t="s">
        <v>697</v>
      </c>
      <c r="B304" s="1" t="s">
        <v>698</v>
      </c>
      <c r="C304" s="1" t="s">
        <v>106</v>
      </c>
      <c r="D304">
        <v>33</v>
      </c>
      <c r="E304" s="1" t="s">
        <v>133</v>
      </c>
      <c r="F304" s="1" t="s">
        <v>134</v>
      </c>
      <c r="G304" s="1" t="s">
        <v>40</v>
      </c>
      <c r="H304">
        <v>2</v>
      </c>
      <c r="I304">
        <v>75</v>
      </c>
      <c r="J304">
        <v>2.5</v>
      </c>
      <c r="K304" t="b">
        <v>0</v>
      </c>
      <c r="L304">
        <v>0.65</v>
      </c>
      <c r="M304" s="1" t="s">
        <v>51</v>
      </c>
      <c r="N304" s="1" t="s">
        <v>21</v>
      </c>
      <c r="O304">
        <v>4</v>
      </c>
      <c r="P304">
        <v>1</v>
      </c>
      <c r="Q304" t="str">
        <f t="shared" si="21"/>
        <v>JOEL BROWN III</v>
      </c>
      <c r="R304" t="str">
        <f t="shared" si="22"/>
        <v>russia</v>
      </c>
      <c r="S304" t="str">
        <f>PROPER(global_freelancer_raw[[#This Row],[NAME UPPER]])</f>
        <v>Joel Brown Iii</v>
      </c>
      <c r="T304" t="str">
        <f t="shared" si="23"/>
        <v>Ru</v>
      </c>
      <c r="U304" t="str">
        <f t="shared" si="20"/>
        <v xml:space="preserve"> Brown</v>
      </c>
      <c r="V304" t="str">
        <f t="shared" si="24"/>
        <v>03</v>
      </c>
    </row>
    <row r="305" spans="1:22" x14ac:dyDescent="0.3">
      <c r="A305" s="1" t="s">
        <v>699</v>
      </c>
      <c r="B305" s="1" t="s">
        <v>700</v>
      </c>
      <c r="C305" s="1" t="s">
        <v>39</v>
      </c>
      <c r="D305">
        <v>37</v>
      </c>
      <c r="E305" s="1" t="s">
        <v>137</v>
      </c>
      <c r="F305" s="1" t="s">
        <v>26</v>
      </c>
      <c r="G305" s="1" t="s">
        <v>34</v>
      </c>
      <c r="H305">
        <v>0</v>
      </c>
      <c r="I305" t="s">
        <v>107</v>
      </c>
      <c r="J305">
        <v>4.7</v>
      </c>
      <c r="K305">
        <v>0</v>
      </c>
      <c r="L305">
        <v>0.77</v>
      </c>
      <c r="M305" s="1" t="s">
        <v>72</v>
      </c>
      <c r="N305" s="1" t="s">
        <v>21</v>
      </c>
      <c r="O305">
        <v>3</v>
      </c>
      <c r="P305">
        <v>2</v>
      </c>
      <c r="Q305" t="str">
        <f t="shared" si="21"/>
        <v>OLIVIA SCHULTZ</v>
      </c>
      <c r="R305" t="str">
        <f t="shared" si="22"/>
        <v>canada</v>
      </c>
      <c r="S305" t="str">
        <f>PROPER(global_freelancer_raw[[#This Row],[NAME UPPER]])</f>
        <v>Olivia Schultz</v>
      </c>
      <c r="T305" t="str">
        <f t="shared" si="23"/>
        <v>Ca</v>
      </c>
      <c r="U305" t="str">
        <f t="shared" si="20"/>
        <v>ia Sch</v>
      </c>
      <c r="V305" t="str">
        <f t="shared" si="24"/>
        <v>04</v>
      </c>
    </row>
    <row r="306" spans="1:22" x14ac:dyDescent="0.3">
      <c r="A306" s="1" t="s">
        <v>701</v>
      </c>
      <c r="B306" s="1" t="s">
        <v>702</v>
      </c>
      <c r="C306" s="1" t="s">
        <v>106</v>
      </c>
      <c r="D306">
        <v>20</v>
      </c>
      <c r="E306" s="1" t="s">
        <v>148</v>
      </c>
      <c r="F306" s="1" t="s">
        <v>149</v>
      </c>
      <c r="G306" s="1" t="s">
        <v>57</v>
      </c>
      <c r="H306">
        <v>0</v>
      </c>
      <c r="I306">
        <v>20</v>
      </c>
      <c r="J306">
        <v>3.9</v>
      </c>
      <c r="K306" t="b">
        <v>0</v>
      </c>
      <c r="M306" s="1" t="s">
        <v>77</v>
      </c>
      <c r="N306" s="1" t="s">
        <v>65</v>
      </c>
      <c r="O306">
        <v>1</v>
      </c>
      <c r="P306">
        <v>1</v>
      </c>
      <c r="Q306" t="str">
        <f t="shared" si="21"/>
        <v>CLAYTON PENA</v>
      </c>
      <c r="R306" t="str">
        <f t="shared" si="22"/>
        <v>egypt</v>
      </c>
      <c r="S306" t="str">
        <f>PROPER(global_freelancer_raw[[#This Row],[NAME UPPER]])</f>
        <v>Clayton Pena</v>
      </c>
      <c r="T306" t="str">
        <f t="shared" si="23"/>
        <v>Eg</v>
      </c>
      <c r="U306" t="str">
        <f t="shared" si="20"/>
        <v>ton Pe</v>
      </c>
      <c r="V306" t="str">
        <f t="shared" si="24"/>
        <v>05</v>
      </c>
    </row>
    <row r="307" spans="1:22" x14ac:dyDescent="0.3">
      <c r="A307" s="1" t="s">
        <v>703</v>
      </c>
      <c r="B307" s="1" t="s">
        <v>704</v>
      </c>
      <c r="C307" s="1" t="s">
        <v>24</v>
      </c>
      <c r="D307">
        <v>48</v>
      </c>
      <c r="E307" s="1" t="s">
        <v>184</v>
      </c>
      <c r="F307" s="1" t="s">
        <v>185</v>
      </c>
      <c r="G307" s="1" t="s">
        <v>57</v>
      </c>
      <c r="H307">
        <v>2</v>
      </c>
      <c r="I307">
        <v>75</v>
      </c>
      <c r="J307">
        <v>1.6</v>
      </c>
      <c r="K307" t="s">
        <v>35</v>
      </c>
      <c r="L307">
        <v>0.67</v>
      </c>
      <c r="M307" s="1" t="s">
        <v>72</v>
      </c>
      <c r="N307" s="1" t="s">
        <v>21</v>
      </c>
      <c r="O307">
        <v>5</v>
      </c>
      <c r="P307">
        <v>2</v>
      </c>
      <c r="Q307" t="str">
        <f t="shared" si="21"/>
        <v>ASHLEY SALAZAR</v>
      </c>
      <c r="R307" t="str">
        <f t="shared" si="22"/>
        <v>china</v>
      </c>
      <c r="S307" t="str">
        <f>PROPER(global_freelancer_raw[[#This Row],[NAME UPPER]])</f>
        <v>Ashley Salazar</v>
      </c>
      <c r="T307" t="str">
        <f t="shared" si="23"/>
        <v>Ch</v>
      </c>
      <c r="U307" t="str">
        <f t="shared" si="20"/>
        <v>ey Sal</v>
      </c>
      <c r="V307" t="str">
        <f t="shared" si="24"/>
        <v>06</v>
      </c>
    </row>
    <row r="308" spans="1:22" x14ac:dyDescent="0.3">
      <c r="A308" s="1" t="s">
        <v>705</v>
      </c>
      <c r="B308" s="1" t="s">
        <v>706</v>
      </c>
      <c r="C308" s="1" t="s">
        <v>32</v>
      </c>
      <c r="D308">
        <v>27</v>
      </c>
      <c r="E308" s="1" t="s">
        <v>144</v>
      </c>
      <c r="F308" s="1" t="s">
        <v>145</v>
      </c>
      <c r="G308" s="1" t="s">
        <v>87</v>
      </c>
      <c r="H308">
        <v>2</v>
      </c>
      <c r="I308" t="s">
        <v>71</v>
      </c>
      <c r="K308">
        <v>0</v>
      </c>
      <c r="L308">
        <v>0.84</v>
      </c>
      <c r="M308" s="1" t="s">
        <v>20</v>
      </c>
      <c r="N308" s="1" t="s">
        <v>65</v>
      </c>
      <c r="O308">
        <v>2</v>
      </c>
      <c r="P308">
        <v>3</v>
      </c>
      <c r="Q308" t="str">
        <f t="shared" si="21"/>
        <v>ROBERT LUCAS</v>
      </c>
      <c r="R308" t="str">
        <f t="shared" si="22"/>
        <v>france</v>
      </c>
      <c r="S308" t="str">
        <f>PROPER(global_freelancer_raw[[#This Row],[NAME UPPER]])</f>
        <v>Robert Lucas</v>
      </c>
      <c r="T308" t="str">
        <f t="shared" si="23"/>
        <v>Fr</v>
      </c>
      <c r="U308" t="str">
        <f t="shared" si="20"/>
        <v>rt Luc</v>
      </c>
      <c r="V308" t="str">
        <f t="shared" si="24"/>
        <v>07</v>
      </c>
    </row>
    <row r="309" spans="1:22" x14ac:dyDescent="0.3">
      <c r="A309" s="1" t="s">
        <v>707</v>
      </c>
      <c r="B309" s="1" t="s">
        <v>708</v>
      </c>
      <c r="C309" s="1" t="s">
        <v>101</v>
      </c>
      <c r="D309">
        <v>34</v>
      </c>
      <c r="E309" s="1" t="s">
        <v>121</v>
      </c>
      <c r="F309" s="1" t="s">
        <v>122</v>
      </c>
      <c r="G309" s="1" t="s">
        <v>27</v>
      </c>
      <c r="H309">
        <v>1</v>
      </c>
      <c r="I309">
        <v>30</v>
      </c>
      <c r="J309">
        <v>3.6</v>
      </c>
      <c r="K309">
        <v>1</v>
      </c>
      <c r="L309">
        <v>0.87</v>
      </c>
      <c r="M309" s="1" t="s">
        <v>77</v>
      </c>
      <c r="N309" s="1" t="s">
        <v>65</v>
      </c>
      <c r="O309">
        <v>2</v>
      </c>
      <c r="P309">
        <v>2</v>
      </c>
      <c r="Q309" t="str">
        <f t="shared" si="21"/>
        <v>DAVID COX</v>
      </c>
      <c r="R309" t="str">
        <f t="shared" si="22"/>
        <v>south korea</v>
      </c>
      <c r="S309" t="str">
        <f>PROPER(global_freelancer_raw[[#This Row],[NAME UPPER]])</f>
        <v>David Cox</v>
      </c>
      <c r="T309" t="str">
        <f t="shared" si="23"/>
        <v>So</v>
      </c>
      <c r="U309" t="str">
        <f t="shared" si="20"/>
        <v>d Cox</v>
      </c>
      <c r="V309" t="str">
        <f t="shared" si="24"/>
        <v>08</v>
      </c>
    </row>
    <row r="310" spans="1:22" x14ac:dyDescent="0.3">
      <c r="A310" s="1" t="s">
        <v>709</v>
      </c>
      <c r="B310" s="1" t="s">
        <v>710</v>
      </c>
      <c r="C310" s="1" t="s">
        <v>106</v>
      </c>
      <c r="D310">
        <v>55</v>
      </c>
      <c r="E310" s="1" t="s">
        <v>116</v>
      </c>
      <c r="F310" s="1" t="s">
        <v>117</v>
      </c>
      <c r="G310" s="1" t="s">
        <v>123</v>
      </c>
      <c r="H310">
        <v>14</v>
      </c>
      <c r="I310" t="s">
        <v>118</v>
      </c>
      <c r="J310">
        <v>1.2</v>
      </c>
      <c r="K310" t="s">
        <v>76</v>
      </c>
      <c r="L310">
        <v>0.91</v>
      </c>
      <c r="M310" s="1" t="s">
        <v>20</v>
      </c>
      <c r="N310" s="1" t="s">
        <v>65</v>
      </c>
      <c r="O310">
        <v>7</v>
      </c>
      <c r="P310">
        <v>6</v>
      </c>
      <c r="Q310" t="str">
        <f t="shared" si="21"/>
        <v>CHRISTIAN CAMPBELL</v>
      </c>
      <c r="R310" t="str">
        <f t="shared" si="22"/>
        <v>brazil</v>
      </c>
      <c r="S310" t="str">
        <f>PROPER(global_freelancer_raw[[#This Row],[NAME UPPER]])</f>
        <v>Christian Campbell</v>
      </c>
      <c r="T310" t="str">
        <f t="shared" si="23"/>
        <v>Br</v>
      </c>
      <c r="U310" t="str">
        <f t="shared" si="20"/>
        <v xml:space="preserve">stian </v>
      </c>
      <c r="V310" t="str">
        <f t="shared" si="24"/>
        <v>09</v>
      </c>
    </row>
    <row r="311" spans="1:22" x14ac:dyDescent="0.3">
      <c r="A311" s="1" t="s">
        <v>711</v>
      </c>
      <c r="B311" s="1" t="s">
        <v>712</v>
      </c>
      <c r="C311" s="1" t="s">
        <v>39</v>
      </c>
      <c r="D311">
        <v>44</v>
      </c>
      <c r="E311" s="1" t="s">
        <v>162</v>
      </c>
      <c r="F311" s="1" t="s">
        <v>163</v>
      </c>
      <c r="G311" s="1" t="s">
        <v>123</v>
      </c>
      <c r="H311">
        <v>14</v>
      </c>
      <c r="I311" t="s">
        <v>58</v>
      </c>
      <c r="J311">
        <v>3</v>
      </c>
      <c r="K311">
        <v>0</v>
      </c>
      <c r="L311">
        <v>0.78</v>
      </c>
      <c r="M311" s="1" t="s">
        <v>51</v>
      </c>
      <c r="N311" s="1" t="s">
        <v>65</v>
      </c>
      <c r="O311">
        <v>13</v>
      </c>
      <c r="P311">
        <v>6</v>
      </c>
      <c r="Q311" t="str">
        <f t="shared" si="21"/>
        <v>MRS. ANGELA WARD</v>
      </c>
      <c r="R311" t="str">
        <f t="shared" si="22"/>
        <v>south africa</v>
      </c>
      <c r="S311" t="str">
        <f>PROPER(global_freelancer_raw[[#This Row],[NAME UPPER]])</f>
        <v>Mrs. Angela Ward</v>
      </c>
      <c r="T311" t="str">
        <f t="shared" si="23"/>
        <v>So</v>
      </c>
      <c r="U311" t="str">
        <f t="shared" si="20"/>
        <v xml:space="preserve"> Angel</v>
      </c>
      <c r="V311" t="str">
        <f t="shared" si="24"/>
        <v>10</v>
      </c>
    </row>
    <row r="312" spans="1:22" x14ac:dyDescent="0.3">
      <c r="A312" s="1" t="s">
        <v>713</v>
      </c>
      <c r="B312" s="1" t="s">
        <v>714</v>
      </c>
      <c r="C312" s="1" t="s">
        <v>32</v>
      </c>
      <c r="D312">
        <v>31</v>
      </c>
      <c r="E312" s="1" t="s">
        <v>47</v>
      </c>
      <c r="F312" s="1" t="s">
        <v>48</v>
      </c>
      <c r="G312" s="1" t="s">
        <v>82</v>
      </c>
      <c r="H312">
        <v>2</v>
      </c>
      <c r="I312">
        <v>50</v>
      </c>
      <c r="J312">
        <v>3.9</v>
      </c>
      <c r="K312">
        <v>0</v>
      </c>
      <c r="M312" s="1" t="s">
        <v>51</v>
      </c>
      <c r="N312" s="1" t="s">
        <v>36</v>
      </c>
      <c r="O312">
        <v>4</v>
      </c>
      <c r="P312">
        <v>1</v>
      </c>
      <c r="Q312" t="str">
        <f t="shared" si="21"/>
        <v>LUCAS CHEN</v>
      </c>
      <c r="R312" t="str">
        <f t="shared" si="22"/>
        <v>netherlands</v>
      </c>
      <c r="S312" t="str">
        <f>PROPER(global_freelancer_raw[[#This Row],[NAME UPPER]])</f>
        <v>Lucas Chen</v>
      </c>
      <c r="T312" t="str">
        <f t="shared" si="23"/>
        <v>Ne</v>
      </c>
      <c r="U312" t="str">
        <f t="shared" si="20"/>
        <v>s Chen</v>
      </c>
      <c r="V312" t="str">
        <f t="shared" si="24"/>
        <v>11</v>
      </c>
    </row>
    <row r="313" spans="1:22" x14ac:dyDescent="0.3">
      <c r="A313" s="1" t="s">
        <v>715</v>
      </c>
      <c r="B313" s="1" t="s">
        <v>716</v>
      </c>
      <c r="C313" s="1" t="s">
        <v>54</v>
      </c>
      <c r="D313">
        <v>34</v>
      </c>
      <c r="E313" s="1" t="s">
        <v>25</v>
      </c>
      <c r="F313" s="1" t="s">
        <v>26</v>
      </c>
      <c r="G313" s="1" t="s">
        <v>98</v>
      </c>
      <c r="H313">
        <v>1</v>
      </c>
      <c r="I313">
        <v>40</v>
      </c>
      <c r="J313">
        <v>1.7</v>
      </c>
      <c r="L313">
        <v>74</v>
      </c>
      <c r="M313" s="1" t="s">
        <v>51</v>
      </c>
      <c r="N313" s="1" t="s">
        <v>65</v>
      </c>
      <c r="O313">
        <v>4</v>
      </c>
      <c r="P313">
        <v>4</v>
      </c>
      <c r="Q313" t="str">
        <f t="shared" si="21"/>
        <v>RUBEN NELSON</v>
      </c>
      <c r="R313" t="str">
        <f t="shared" si="22"/>
        <v>australia</v>
      </c>
      <c r="S313" t="str">
        <f>PROPER(global_freelancer_raw[[#This Row],[NAME UPPER]])</f>
        <v>Ruben Nelson</v>
      </c>
      <c r="T313" t="str">
        <f t="shared" si="23"/>
        <v>Au</v>
      </c>
      <c r="U313" t="str">
        <f t="shared" si="20"/>
        <v>n Nels</v>
      </c>
      <c r="V313" t="str">
        <f t="shared" si="24"/>
        <v>12</v>
      </c>
    </row>
    <row r="314" spans="1:22" x14ac:dyDescent="0.3">
      <c r="A314" s="1" t="s">
        <v>717</v>
      </c>
      <c r="B314" s="1" t="s">
        <v>718</v>
      </c>
      <c r="C314" s="1" t="s">
        <v>39</v>
      </c>
      <c r="D314">
        <v>47</v>
      </c>
      <c r="E314" s="1" t="s">
        <v>116</v>
      </c>
      <c r="F314" s="1" t="s">
        <v>117</v>
      </c>
      <c r="G314" s="1" t="s">
        <v>98</v>
      </c>
      <c r="H314">
        <v>13</v>
      </c>
      <c r="I314">
        <v>20</v>
      </c>
      <c r="J314">
        <v>4.5</v>
      </c>
      <c r="L314">
        <v>0.91</v>
      </c>
      <c r="M314" s="1" t="s">
        <v>72</v>
      </c>
      <c r="N314" s="1" t="s">
        <v>29</v>
      </c>
      <c r="O314">
        <v>7</v>
      </c>
      <c r="P314">
        <v>6</v>
      </c>
      <c r="Q314" t="str">
        <f t="shared" si="21"/>
        <v>BRENDA BRIGGS</v>
      </c>
      <c r="R314" t="str">
        <f t="shared" si="22"/>
        <v>brazil</v>
      </c>
      <c r="S314" t="str">
        <f>PROPER(global_freelancer_raw[[#This Row],[NAME UPPER]])</f>
        <v>Brenda Briggs</v>
      </c>
      <c r="T314" t="str">
        <f t="shared" si="23"/>
        <v>Br</v>
      </c>
      <c r="U314" t="str">
        <f t="shared" si="20"/>
        <v>da Bri</v>
      </c>
      <c r="V314" t="str">
        <f t="shared" si="24"/>
        <v>13</v>
      </c>
    </row>
    <row r="315" spans="1:22" x14ac:dyDescent="0.3">
      <c r="A315" s="1" t="s">
        <v>719</v>
      </c>
      <c r="B315" s="1" t="s">
        <v>720</v>
      </c>
      <c r="C315" s="1" t="s">
        <v>54</v>
      </c>
      <c r="D315">
        <v>50</v>
      </c>
      <c r="E315" s="1" t="s">
        <v>64</v>
      </c>
      <c r="F315" s="1" t="s">
        <v>26</v>
      </c>
      <c r="G315" s="1" t="s">
        <v>34</v>
      </c>
      <c r="H315">
        <v>23</v>
      </c>
      <c r="I315" t="s">
        <v>41</v>
      </c>
      <c r="J315">
        <v>3.6</v>
      </c>
      <c r="K315" t="b">
        <v>1</v>
      </c>
      <c r="L315">
        <v>0.71</v>
      </c>
      <c r="M315" s="1" t="s">
        <v>77</v>
      </c>
      <c r="N315" s="1" t="s">
        <v>21</v>
      </c>
      <c r="O315">
        <v>12</v>
      </c>
      <c r="P315">
        <v>9</v>
      </c>
      <c r="Q315" t="str">
        <f t="shared" si="21"/>
        <v>RONALD SMITH</v>
      </c>
      <c r="R315" t="str">
        <f t="shared" si="22"/>
        <v>us</v>
      </c>
      <c r="S315" t="str">
        <f>PROPER(global_freelancer_raw[[#This Row],[NAME UPPER]])</f>
        <v>Ronald Smith</v>
      </c>
      <c r="T315" t="str">
        <f t="shared" si="23"/>
        <v>US</v>
      </c>
      <c r="U315" t="str">
        <f t="shared" si="20"/>
        <v>ld Smi</v>
      </c>
      <c r="V315" t="str">
        <f t="shared" si="24"/>
        <v>14</v>
      </c>
    </row>
    <row r="316" spans="1:22" x14ac:dyDescent="0.3">
      <c r="A316" s="1" t="s">
        <v>721</v>
      </c>
      <c r="B316" s="1" t="s">
        <v>722</v>
      </c>
      <c r="C316" s="1" t="s">
        <v>101</v>
      </c>
      <c r="D316">
        <v>39</v>
      </c>
      <c r="E316" s="1" t="s">
        <v>33</v>
      </c>
      <c r="F316" s="1" t="s">
        <v>33</v>
      </c>
      <c r="G316" s="1" t="s">
        <v>87</v>
      </c>
      <c r="I316" t="s">
        <v>58</v>
      </c>
      <c r="J316">
        <v>3.6</v>
      </c>
      <c r="K316" t="s">
        <v>83</v>
      </c>
      <c r="L316">
        <v>0.87</v>
      </c>
      <c r="M316" s="1" t="s">
        <v>51</v>
      </c>
      <c r="N316" s="1" t="s">
        <v>29</v>
      </c>
      <c r="O316">
        <v>5</v>
      </c>
      <c r="P316">
        <v>1</v>
      </c>
      <c r="Q316" t="str">
        <f t="shared" si="21"/>
        <v>DAKOTA GILES</v>
      </c>
      <c r="R316" t="str">
        <f t="shared" si="22"/>
        <v>germany</v>
      </c>
      <c r="S316" t="str">
        <f>PROPER(global_freelancer_raw[[#This Row],[NAME UPPER]])</f>
        <v>Dakota Giles</v>
      </c>
      <c r="T316" t="str">
        <f t="shared" si="23"/>
        <v>Ge</v>
      </c>
      <c r="U316" t="str">
        <f t="shared" si="20"/>
        <v>ta Gil</v>
      </c>
      <c r="V316" t="str">
        <f t="shared" si="24"/>
        <v>15</v>
      </c>
    </row>
    <row r="317" spans="1:22" x14ac:dyDescent="0.3">
      <c r="A317" s="1" t="s">
        <v>723</v>
      </c>
      <c r="B317" s="1" t="s">
        <v>724</v>
      </c>
      <c r="C317" s="1" t="s">
        <v>24</v>
      </c>
      <c r="D317">
        <v>26</v>
      </c>
      <c r="E317" s="1" t="s">
        <v>80</v>
      </c>
      <c r="F317" s="1" t="s">
        <v>81</v>
      </c>
      <c r="G317" s="1" t="s">
        <v>19</v>
      </c>
      <c r="H317">
        <v>3</v>
      </c>
      <c r="I317" t="s">
        <v>28</v>
      </c>
      <c r="J317">
        <v>2.8</v>
      </c>
      <c r="K317">
        <v>1</v>
      </c>
      <c r="L317">
        <v>0.61</v>
      </c>
      <c r="M317" s="1" t="s">
        <v>51</v>
      </c>
      <c r="N317" s="1" t="s">
        <v>36</v>
      </c>
      <c r="O317">
        <v>1</v>
      </c>
      <c r="P317">
        <v>1</v>
      </c>
      <c r="Q317" t="str">
        <f t="shared" si="21"/>
        <v>ANGELA CASTILLO</v>
      </c>
      <c r="R317" t="str">
        <f t="shared" si="22"/>
        <v>argentina</v>
      </c>
      <c r="S317" t="str">
        <f>PROPER(global_freelancer_raw[[#This Row],[NAME UPPER]])</f>
        <v>Angela Castillo</v>
      </c>
      <c r="T317" t="str">
        <f t="shared" si="23"/>
        <v>Ar</v>
      </c>
      <c r="U317" t="str">
        <f t="shared" si="20"/>
        <v>la Cas</v>
      </c>
      <c r="V317" t="str">
        <f t="shared" si="24"/>
        <v>16</v>
      </c>
    </row>
    <row r="318" spans="1:22" x14ac:dyDescent="0.3">
      <c r="A318" s="1" t="s">
        <v>725</v>
      </c>
      <c r="B318" s="1" t="s">
        <v>726</v>
      </c>
      <c r="C318" s="1" t="s">
        <v>101</v>
      </c>
      <c r="E318" s="1" t="s">
        <v>47</v>
      </c>
      <c r="F318" s="1" t="s">
        <v>48</v>
      </c>
      <c r="G318" s="1" t="s">
        <v>98</v>
      </c>
      <c r="H318">
        <v>0</v>
      </c>
      <c r="I318" t="s">
        <v>238</v>
      </c>
      <c r="J318">
        <v>5</v>
      </c>
      <c r="K318" t="s">
        <v>35</v>
      </c>
      <c r="M318" s="1" t="s">
        <v>77</v>
      </c>
      <c r="N318" s="1" t="s">
        <v>29</v>
      </c>
      <c r="O318">
        <v>1</v>
      </c>
      <c r="P318">
        <v>4</v>
      </c>
      <c r="Q318" t="str">
        <f t="shared" si="21"/>
        <v>ALLEN LEE</v>
      </c>
      <c r="R318" t="str">
        <f t="shared" si="22"/>
        <v>netherlands</v>
      </c>
      <c r="S318" t="str">
        <f>PROPER(global_freelancer_raw[[#This Row],[NAME UPPER]])</f>
        <v>Allen Lee</v>
      </c>
      <c r="T318" t="str">
        <f t="shared" si="23"/>
        <v>Ne</v>
      </c>
      <c r="U318" t="str">
        <f t="shared" si="20"/>
        <v>n Lee</v>
      </c>
      <c r="V318" t="str">
        <f t="shared" si="24"/>
        <v>17</v>
      </c>
    </row>
    <row r="319" spans="1:22" x14ac:dyDescent="0.3">
      <c r="A319" s="1" t="s">
        <v>727</v>
      </c>
      <c r="B319" s="1" t="s">
        <v>728</v>
      </c>
      <c r="C319" s="1" t="s">
        <v>32</v>
      </c>
      <c r="D319">
        <v>32</v>
      </c>
      <c r="E319" s="1" t="s">
        <v>33</v>
      </c>
      <c r="F319" s="1" t="s">
        <v>33</v>
      </c>
      <c r="G319" s="1" t="s">
        <v>34</v>
      </c>
      <c r="H319">
        <v>0</v>
      </c>
      <c r="I319">
        <v>100</v>
      </c>
      <c r="J319">
        <v>1.4</v>
      </c>
      <c r="K319">
        <v>1</v>
      </c>
      <c r="L319">
        <v>0.81</v>
      </c>
      <c r="M319" s="1" t="s">
        <v>51</v>
      </c>
      <c r="N319" s="1" t="s">
        <v>21</v>
      </c>
      <c r="O319">
        <v>2</v>
      </c>
      <c r="P319">
        <v>1</v>
      </c>
      <c r="Q319" t="str">
        <f t="shared" si="21"/>
        <v>MICHAEL ROGERS</v>
      </c>
      <c r="R319" t="str">
        <f t="shared" si="22"/>
        <v>germany</v>
      </c>
      <c r="S319" t="str">
        <f>PROPER(global_freelancer_raw[[#This Row],[NAME UPPER]])</f>
        <v>Michael Rogers</v>
      </c>
      <c r="T319" t="str">
        <f t="shared" si="23"/>
        <v>Ge</v>
      </c>
      <c r="U319" t="str">
        <f t="shared" si="20"/>
        <v>ael Ro</v>
      </c>
      <c r="V319" t="str">
        <f t="shared" si="24"/>
        <v>18</v>
      </c>
    </row>
    <row r="320" spans="1:22" x14ac:dyDescent="0.3">
      <c r="A320" s="1" t="s">
        <v>729</v>
      </c>
      <c r="B320" s="1" t="s">
        <v>730</v>
      </c>
      <c r="C320" s="1" t="s">
        <v>86</v>
      </c>
      <c r="D320">
        <v>55</v>
      </c>
      <c r="E320" s="1" t="s">
        <v>133</v>
      </c>
      <c r="F320" s="1" t="s">
        <v>134</v>
      </c>
      <c r="G320" s="1" t="s">
        <v>57</v>
      </c>
      <c r="H320">
        <v>17</v>
      </c>
      <c r="I320">
        <v>30</v>
      </c>
      <c r="M320" s="1" t="s">
        <v>20</v>
      </c>
      <c r="N320" s="1" t="s">
        <v>29</v>
      </c>
      <c r="O320">
        <v>18</v>
      </c>
      <c r="P320">
        <v>13</v>
      </c>
      <c r="Q320" t="str">
        <f t="shared" si="21"/>
        <v>DANIELLE COSTA</v>
      </c>
      <c r="R320" t="str">
        <f t="shared" si="22"/>
        <v>russia</v>
      </c>
      <c r="S320" t="str">
        <f>PROPER(global_freelancer_raw[[#This Row],[NAME UPPER]])</f>
        <v>Danielle Costa</v>
      </c>
      <c r="T320" t="str">
        <f t="shared" si="23"/>
        <v>Ru</v>
      </c>
      <c r="U320" t="str">
        <f t="shared" si="20"/>
        <v>elle C</v>
      </c>
      <c r="V320" t="str">
        <f t="shared" si="24"/>
        <v>19</v>
      </c>
    </row>
    <row r="321" spans="1:22" x14ac:dyDescent="0.3">
      <c r="A321" s="1" t="s">
        <v>731</v>
      </c>
      <c r="B321" s="1" t="s">
        <v>732</v>
      </c>
      <c r="C321" s="1" t="s">
        <v>101</v>
      </c>
      <c r="D321">
        <v>32</v>
      </c>
      <c r="E321" s="1" t="s">
        <v>80</v>
      </c>
      <c r="F321" s="1" t="s">
        <v>81</v>
      </c>
      <c r="G321" s="1" t="s">
        <v>123</v>
      </c>
      <c r="H321">
        <v>9</v>
      </c>
      <c r="I321" t="s">
        <v>61</v>
      </c>
      <c r="J321">
        <v>4.5999999999999996</v>
      </c>
      <c r="K321">
        <v>1</v>
      </c>
      <c r="L321">
        <v>0.84</v>
      </c>
      <c r="M321" s="1" t="s">
        <v>77</v>
      </c>
      <c r="N321" s="1" t="s">
        <v>36</v>
      </c>
      <c r="O321">
        <v>9</v>
      </c>
      <c r="P321">
        <v>2</v>
      </c>
      <c r="Q321" t="str">
        <f t="shared" si="21"/>
        <v>WILLIAM NUNEZ</v>
      </c>
      <c r="R321" t="str">
        <f t="shared" si="22"/>
        <v>argentina</v>
      </c>
      <c r="S321" t="str">
        <f>PROPER(global_freelancer_raw[[#This Row],[NAME UPPER]])</f>
        <v>William Nunez</v>
      </c>
      <c r="T321" t="str">
        <f t="shared" si="23"/>
        <v>Ar</v>
      </c>
      <c r="U321" t="str">
        <f t="shared" si="20"/>
        <v>iam Nu</v>
      </c>
      <c r="V321" t="str">
        <f t="shared" si="24"/>
        <v>20</v>
      </c>
    </row>
    <row r="322" spans="1:22" x14ac:dyDescent="0.3">
      <c r="A322" s="1" t="s">
        <v>733</v>
      </c>
      <c r="B322" s="1" t="s">
        <v>734</v>
      </c>
      <c r="C322" s="1" t="s">
        <v>54</v>
      </c>
      <c r="D322">
        <v>30</v>
      </c>
      <c r="E322" s="1" t="s">
        <v>121</v>
      </c>
      <c r="F322" s="1" t="s">
        <v>122</v>
      </c>
      <c r="G322" s="1" t="s">
        <v>19</v>
      </c>
      <c r="H322">
        <v>4</v>
      </c>
      <c r="I322" t="s">
        <v>130</v>
      </c>
      <c r="J322">
        <v>3.3</v>
      </c>
      <c r="K322" t="s">
        <v>168</v>
      </c>
      <c r="M322" s="1" t="s">
        <v>77</v>
      </c>
      <c r="N322" s="1" t="s">
        <v>65</v>
      </c>
      <c r="O322">
        <v>4</v>
      </c>
      <c r="P322">
        <v>4</v>
      </c>
      <c r="Q322" t="str">
        <f t="shared" si="21"/>
        <v>CHRISTOPHER RIGGS</v>
      </c>
      <c r="R322" t="str">
        <f t="shared" si="22"/>
        <v>south korea</v>
      </c>
      <c r="S322" t="str">
        <f>PROPER(global_freelancer_raw[[#This Row],[NAME UPPER]])</f>
        <v>Christopher Riggs</v>
      </c>
      <c r="T322" t="str">
        <f t="shared" si="23"/>
        <v>So</v>
      </c>
      <c r="U322" t="str">
        <f t="shared" ref="U322:U385" si="25">MID(B322,5,6)</f>
        <v>stophe</v>
      </c>
      <c r="V322" t="str">
        <f t="shared" si="24"/>
        <v>21</v>
      </c>
    </row>
    <row r="323" spans="1:22" x14ac:dyDescent="0.3">
      <c r="A323" s="1" t="s">
        <v>735</v>
      </c>
      <c r="B323" s="1" t="s">
        <v>736</v>
      </c>
      <c r="C323" s="1" t="s">
        <v>44</v>
      </c>
      <c r="D323">
        <v>37</v>
      </c>
      <c r="E323" s="1" t="s">
        <v>137</v>
      </c>
      <c r="F323" s="1" t="s">
        <v>26</v>
      </c>
      <c r="G323" s="1" t="s">
        <v>87</v>
      </c>
      <c r="H323">
        <v>0</v>
      </c>
      <c r="I323" t="s">
        <v>41</v>
      </c>
      <c r="J323">
        <v>3.7</v>
      </c>
      <c r="K323">
        <v>1</v>
      </c>
      <c r="M323" s="1" t="s">
        <v>77</v>
      </c>
      <c r="N323" s="1" t="s">
        <v>29</v>
      </c>
      <c r="O323">
        <v>3</v>
      </c>
      <c r="P323">
        <v>5</v>
      </c>
      <c r="Q323" t="str">
        <f t="shared" ref="Q323:Q386" si="26">UPPER(B323)</f>
        <v>KATHRYN MYERS</v>
      </c>
      <c r="R323" t="str">
        <f t="shared" ref="R323:R386" si="27">LOWER(E323)</f>
        <v>canada</v>
      </c>
      <c r="S323" t="str">
        <f>PROPER(global_freelancer_raw[[#This Row],[NAME UPPER]])</f>
        <v>Kathryn Myers</v>
      </c>
      <c r="T323" t="str">
        <f t="shared" ref="T323:T386" si="28">LEFT(E323,"2")</f>
        <v>Ca</v>
      </c>
      <c r="U323" t="str">
        <f t="shared" si="25"/>
        <v>ryn My</v>
      </c>
      <c r="V323" t="str">
        <f t="shared" ref="V323:V386" si="29">RIGHT(A323,"2")</f>
        <v>22</v>
      </c>
    </row>
    <row r="324" spans="1:22" x14ac:dyDescent="0.3">
      <c r="A324" s="1" t="s">
        <v>737</v>
      </c>
      <c r="B324" s="1" t="s">
        <v>738</v>
      </c>
      <c r="C324" s="1" t="s">
        <v>101</v>
      </c>
      <c r="D324">
        <v>52</v>
      </c>
      <c r="E324" s="1" t="s">
        <v>116</v>
      </c>
      <c r="F324" s="1" t="s">
        <v>117</v>
      </c>
      <c r="G324" s="1" t="s">
        <v>34</v>
      </c>
      <c r="H324">
        <v>33</v>
      </c>
      <c r="J324">
        <v>0</v>
      </c>
      <c r="K324">
        <v>1</v>
      </c>
      <c r="L324">
        <v>0.6</v>
      </c>
      <c r="M324" s="1" t="s">
        <v>20</v>
      </c>
      <c r="N324" s="1" t="s">
        <v>36</v>
      </c>
      <c r="O324">
        <v>13</v>
      </c>
      <c r="P324">
        <v>7</v>
      </c>
      <c r="Q324" t="str">
        <f t="shared" si="26"/>
        <v>ROBERT WALLS</v>
      </c>
      <c r="R324" t="str">
        <f t="shared" si="27"/>
        <v>brazil</v>
      </c>
      <c r="S324" t="str">
        <f>PROPER(global_freelancer_raw[[#This Row],[NAME UPPER]])</f>
        <v>Robert Walls</v>
      </c>
      <c r="T324" t="str">
        <f t="shared" si="28"/>
        <v>Br</v>
      </c>
      <c r="U324" t="str">
        <f t="shared" si="25"/>
        <v>rt Wal</v>
      </c>
      <c r="V324" t="str">
        <f t="shared" si="29"/>
        <v>23</v>
      </c>
    </row>
    <row r="325" spans="1:22" x14ac:dyDescent="0.3">
      <c r="A325" s="1" t="s">
        <v>739</v>
      </c>
      <c r="B325" s="1" t="s">
        <v>740</v>
      </c>
      <c r="C325" s="1" t="s">
        <v>106</v>
      </c>
      <c r="D325">
        <v>48</v>
      </c>
      <c r="E325" s="1" t="s">
        <v>102</v>
      </c>
      <c r="F325" s="1" t="s">
        <v>103</v>
      </c>
      <c r="G325" s="1" t="s">
        <v>87</v>
      </c>
      <c r="H325">
        <v>18</v>
      </c>
      <c r="I325">
        <v>50</v>
      </c>
      <c r="J325">
        <v>0</v>
      </c>
      <c r="K325" t="s">
        <v>83</v>
      </c>
      <c r="L325">
        <v>0.64</v>
      </c>
      <c r="M325" s="1" t="s">
        <v>77</v>
      </c>
      <c r="N325" s="1" t="s">
        <v>36</v>
      </c>
      <c r="O325">
        <v>11</v>
      </c>
      <c r="P325">
        <v>16</v>
      </c>
      <c r="Q325" t="str">
        <f t="shared" si="26"/>
        <v>JUSTIN JOHNSON</v>
      </c>
      <c r="R325" t="str">
        <f t="shared" si="27"/>
        <v>india</v>
      </c>
      <c r="S325" t="str">
        <f>PROPER(global_freelancer_raw[[#This Row],[NAME UPPER]])</f>
        <v>Justin Johnson</v>
      </c>
      <c r="T325" t="str">
        <f t="shared" si="28"/>
        <v>In</v>
      </c>
      <c r="U325" t="str">
        <f t="shared" si="25"/>
        <v>in Joh</v>
      </c>
      <c r="V325" t="str">
        <f t="shared" si="29"/>
        <v>24</v>
      </c>
    </row>
    <row r="326" spans="1:22" x14ac:dyDescent="0.3">
      <c r="A326" s="1" t="s">
        <v>741</v>
      </c>
      <c r="B326" s="1" t="s">
        <v>742</v>
      </c>
      <c r="C326" s="1" t="s">
        <v>24</v>
      </c>
      <c r="D326">
        <v>28</v>
      </c>
      <c r="E326" s="1" t="s">
        <v>94</v>
      </c>
      <c r="F326" s="1" t="s">
        <v>95</v>
      </c>
      <c r="G326" s="1" t="s">
        <v>27</v>
      </c>
      <c r="H326">
        <v>9</v>
      </c>
      <c r="I326">
        <v>40</v>
      </c>
      <c r="K326">
        <v>1</v>
      </c>
      <c r="L326">
        <v>0.64</v>
      </c>
      <c r="M326" s="1" t="s">
        <v>20</v>
      </c>
      <c r="N326" s="1" t="s">
        <v>21</v>
      </c>
      <c r="O326">
        <v>14</v>
      </c>
      <c r="P326">
        <v>12</v>
      </c>
      <c r="Q326" t="str">
        <f t="shared" si="26"/>
        <v>PAULA STEVENS</v>
      </c>
      <c r="R326" t="str">
        <f t="shared" si="27"/>
        <v>japan</v>
      </c>
      <c r="S326" t="str">
        <f>PROPER(global_freelancer_raw[[#This Row],[NAME UPPER]])</f>
        <v>Paula Stevens</v>
      </c>
      <c r="T326" t="str">
        <f t="shared" si="28"/>
        <v>Ja</v>
      </c>
      <c r="U326" t="str">
        <f t="shared" si="25"/>
        <v>a Stev</v>
      </c>
      <c r="V326" t="str">
        <f t="shared" si="29"/>
        <v>25</v>
      </c>
    </row>
    <row r="327" spans="1:22" x14ac:dyDescent="0.3">
      <c r="A327" s="1" t="s">
        <v>743</v>
      </c>
      <c r="B327" s="1" t="s">
        <v>744</v>
      </c>
      <c r="C327" s="1" t="s">
        <v>24</v>
      </c>
      <c r="D327">
        <v>58</v>
      </c>
      <c r="E327" s="1" t="s">
        <v>199</v>
      </c>
      <c r="F327" s="1" t="s">
        <v>81</v>
      </c>
      <c r="G327" s="1" t="s">
        <v>57</v>
      </c>
      <c r="H327">
        <v>40</v>
      </c>
      <c r="I327">
        <v>75</v>
      </c>
      <c r="J327">
        <v>3.4</v>
      </c>
      <c r="K327">
        <v>1</v>
      </c>
      <c r="L327">
        <v>1</v>
      </c>
      <c r="M327" s="1" t="s">
        <v>77</v>
      </c>
      <c r="N327" s="1" t="s">
        <v>21</v>
      </c>
      <c r="O327">
        <v>11</v>
      </c>
      <c r="P327">
        <v>12</v>
      </c>
      <c r="Q327" t="str">
        <f t="shared" si="26"/>
        <v>JENNIFER ALLEN</v>
      </c>
      <c r="R327" t="str">
        <f t="shared" si="27"/>
        <v>spain</v>
      </c>
      <c r="S327" t="str">
        <f>PROPER(global_freelancer_raw[[#This Row],[NAME UPPER]])</f>
        <v>Jennifer Allen</v>
      </c>
      <c r="T327" t="str">
        <f t="shared" si="28"/>
        <v>Sp</v>
      </c>
      <c r="U327" t="str">
        <f t="shared" si="25"/>
        <v>ifer A</v>
      </c>
      <c r="V327" t="str">
        <f t="shared" si="29"/>
        <v>26</v>
      </c>
    </row>
    <row r="328" spans="1:22" x14ac:dyDescent="0.3">
      <c r="A328" s="1" t="s">
        <v>745</v>
      </c>
      <c r="B328" s="1" t="s">
        <v>746</v>
      </c>
      <c r="C328" s="1" t="s">
        <v>32</v>
      </c>
      <c r="D328">
        <v>30</v>
      </c>
      <c r="E328" s="1" t="s">
        <v>80</v>
      </c>
      <c r="F328" s="1" t="s">
        <v>81</v>
      </c>
      <c r="G328" s="1" t="s">
        <v>40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s="1" t="s">
        <v>72</v>
      </c>
      <c r="N328" s="1" t="s">
        <v>29</v>
      </c>
      <c r="O328">
        <v>4</v>
      </c>
      <c r="P328">
        <v>1</v>
      </c>
      <c r="Q328" t="str">
        <f t="shared" si="26"/>
        <v>MARK HUDSON</v>
      </c>
      <c r="R328" t="str">
        <f t="shared" si="27"/>
        <v>argentina</v>
      </c>
      <c r="S328" t="str">
        <f>PROPER(global_freelancer_raw[[#This Row],[NAME UPPER]])</f>
        <v>Mark Hudson</v>
      </c>
      <c r="T328" t="str">
        <f t="shared" si="28"/>
        <v>Ar</v>
      </c>
      <c r="U328" t="str">
        <f t="shared" si="25"/>
        <v xml:space="preserve"> Hudso</v>
      </c>
      <c r="V328" t="str">
        <f t="shared" si="29"/>
        <v>27</v>
      </c>
    </row>
    <row r="329" spans="1:22" x14ac:dyDescent="0.3">
      <c r="A329" s="1" t="s">
        <v>747</v>
      </c>
      <c r="B329" s="1" t="s">
        <v>748</v>
      </c>
      <c r="C329" s="1" t="s">
        <v>86</v>
      </c>
      <c r="D329">
        <v>47</v>
      </c>
      <c r="E329" s="1" t="s">
        <v>184</v>
      </c>
      <c r="F329" s="1" t="s">
        <v>185</v>
      </c>
      <c r="G329" s="1" t="s">
        <v>27</v>
      </c>
      <c r="H329">
        <v>5</v>
      </c>
      <c r="I329">
        <v>20</v>
      </c>
      <c r="J329">
        <v>1.9</v>
      </c>
      <c r="K329">
        <v>0</v>
      </c>
      <c r="M329" s="1" t="s">
        <v>51</v>
      </c>
      <c r="N329" s="1" t="s">
        <v>65</v>
      </c>
      <c r="O329">
        <v>5</v>
      </c>
      <c r="P329">
        <v>1</v>
      </c>
      <c r="Q329" t="str">
        <f t="shared" si="26"/>
        <v>JESSICA SMITH</v>
      </c>
      <c r="R329" t="str">
        <f t="shared" si="27"/>
        <v>china</v>
      </c>
      <c r="S329" t="str">
        <f>PROPER(global_freelancer_raw[[#This Row],[NAME UPPER]])</f>
        <v>Jessica Smith</v>
      </c>
      <c r="T329" t="str">
        <f t="shared" si="28"/>
        <v>Ch</v>
      </c>
      <c r="U329" t="str">
        <f t="shared" si="25"/>
        <v>ica Sm</v>
      </c>
      <c r="V329" t="str">
        <f t="shared" si="29"/>
        <v>28</v>
      </c>
    </row>
    <row r="330" spans="1:22" x14ac:dyDescent="0.3">
      <c r="A330" s="1" t="s">
        <v>749</v>
      </c>
      <c r="B330" s="1" t="s">
        <v>750</v>
      </c>
      <c r="C330" s="1" t="s">
        <v>32</v>
      </c>
      <c r="D330">
        <v>44</v>
      </c>
      <c r="E330" s="1" t="s">
        <v>80</v>
      </c>
      <c r="F330" s="1" t="s">
        <v>81</v>
      </c>
      <c r="G330" s="1" t="s">
        <v>49</v>
      </c>
      <c r="H330">
        <v>4</v>
      </c>
      <c r="I330" t="s">
        <v>71</v>
      </c>
      <c r="J330">
        <v>0</v>
      </c>
      <c r="K330" t="b">
        <v>1</v>
      </c>
      <c r="L330">
        <v>0.83</v>
      </c>
      <c r="M330" s="1" t="s">
        <v>72</v>
      </c>
      <c r="N330" s="1" t="s">
        <v>36</v>
      </c>
      <c r="O330">
        <v>5</v>
      </c>
      <c r="P330">
        <v>1</v>
      </c>
      <c r="Q330" t="str">
        <f t="shared" si="26"/>
        <v>MIKE DEAN</v>
      </c>
      <c r="R330" t="str">
        <f t="shared" si="27"/>
        <v>argentina</v>
      </c>
      <c r="S330" t="str">
        <f>PROPER(global_freelancer_raw[[#This Row],[NAME UPPER]])</f>
        <v>Mike Dean</v>
      </c>
      <c r="T330" t="str">
        <f t="shared" si="28"/>
        <v>Ar</v>
      </c>
      <c r="U330" t="str">
        <f t="shared" si="25"/>
        <v xml:space="preserve"> Dean</v>
      </c>
      <c r="V330" t="str">
        <f t="shared" si="29"/>
        <v>29</v>
      </c>
    </row>
    <row r="331" spans="1:22" x14ac:dyDescent="0.3">
      <c r="A331" s="1" t="s">
        <v>751</v>
      </c>
      <c r="B331" s="1" t="s">
        <v>752</v>
      </c>
      <c r="C331" s="1" t="s">
        <v>101</v>
      </c>
      <c r="D331">
        <v>56</v>
      </c>
      <c r="E331" s="1" t="s">
        <v>17</v>
      </c>
      <c r="F331" s="1" t="s">
        <v>18</v>
      </c>
      <c r="G331" s="1" t="s">
        <v>123</v>
      </c>
      <c r="H331">
        <v>13</v>
      </c>
      <c r="I331" t="s">
        <v>61</v>
      </c>
      <c r="K331">
        <v>1</v>
      </c>
      <c r="L331">
        <v>0.87</v>
      </c>
      <c r="M331" s="1" t="s">
        <v>51</v>
      </c>
      <c r="N331" s="1" t="s">
        <v>29</v>
      </c>
      <c r="O331">
        <v>9</v>
      </c>
      <c r="P331">
        <v>10</v>
      </c>
      <c r="Q331" t="str">
        <f t="shared" si="26"/>
        <v>JOSE WILSON</v>
      </c>
      <c r="R331" t="str">
        <f t="shared" si="27"/>
        <v>italy</v>
      </c>
      <c r="S331" t="str">
        <f>PROPER(global_freelancer_raw[[#This Row],[NAME UPPER]])</f>
        <v>Jose Wilson</v>
      </c>
      <c r="T331" t="str">
        <f t="shared" si="28"/>
        <v>It</v>
      </c>
      <c r="U331" t="str">
        <f t="shared" si="25"/>
        <v xml:space="preserve"> Wilso</v>
      </c>
      <c r="V331" t="str">
        <f t="shared" si="29"/>
        <v>30</v>
      </c>
    </row>
    <row r="332" spans="1:22" x14ac:dyDescent="0.3">
      <c r="A332" s="1" t="s">
        <v>753</v>
      </c>
      <c r="B332" s="1" t="s">
        <v>754</v>
      </c>
      <c r="C332" s="1" t="s">
        <v>86</v>
      </c>
      <c r="D332">
        <v>53</v>
      </c>
      <c r="E332" s="1" t="s">
        <v>64</v>
      </c>
      <c r="F332" s="1" t="s">
        <v>26</v>
      </c>
      <c r="G332" s="1" t="s">
        <v>27</v>
      </c>
      <c r="H332">
        <v>33</v>
      </c>
      <c r="I332" t="s">
        <v>238</v>
      </c>
      <c r="K332" t="s">
        <v>168</v>
      </c>
      <c r="L332">
        <v>0.75</v>
      </c>
      <c r="M332" s="1" t="s">
        <v>20</v>
      </c>
      <c r="N332" s="1" t="s">
        <v>36</v>
      </c>
      <c r="O332">
        <v>12</v>
      </c>
      <c r="P332">
        <v>1</v>
      </c>
      <c r="Q332" t="str">
        <f t="shared" si="26"/>
        <v>TAMMY HILL</v>
      </c>
      <c r="R332" t="str">
        <f t="shared" si="27"/>
        <v>us</v>
      </c>
      <c r="S332" t="str">
        <f>PROPER(global_freelancer_raw[[#This Row],[NAME UPPER]])</f>
        <v>Tammy Hill</v>
      </c>
      <c r="T332" t="str">
        <f t="shared" si="28"/>
        <v>US</v>
      </c>
      <c r="U332" t="str">
        <f t="shared" si="25"/>
        <v>y Hill</v>
      </c>
      <c r="V332" t="str">
        <f t="shared" si="29"/>
        <v>31</v>
      </c>
    </row>
    <row r="333" spans="1:22" x14ac:dyDescent="0.3">
      <c r="A333" s="1" t="s">
        <v>755</v>
      </c>
      <c r="B333" s="1" t="s">
        <v>756</v>
      </c>
      <c r="C333" s="1" t="s">
        <v>68</v>
      </c>
      <c r="D333">
        <v>59</v>
      </c>
      <c r="E333" s="1" t="s">
        <v>75</v>
      </c>
      <c r="F333" s="1" t="s">
        <v>26</v>
      </c>
      <c r="G333" s="1" t="s">
        <v>27</v>
      </c>
      <c r="H333">
        <v>22</v>
      </c>
      <c r="I333">
        <v>40</v>
      </c>
      <c r="J333">
        <v>1.1000000000000001</v>
      </c>
      <c r="K333" t="s">
        <v>76</v>
      </c>
      <c r="L333">
        <v>0.61</v>
      </c>
      <c r="M333" s="1" t="s">
        <v>72</v>
      </c>
      <c r="N333" s="1" t="s">
        <v>36</v>
      </c>
      <c r="O333">
        <v>10</v>
      </c>
      <c r="P333">
        <v>19</v>
      </c>
      <c r="Q333" t="str">
        <f t="shared" si="26"/>
        <v>NATHANIEL FLORES</v>
      </c>
      <c r="R333" t="str">
        <f t="shared" si="27"/>
        <v>uk</v>
      </c>
      <c r="S333" t="str">
        <f>PROPER(global_freelancer_raw[[#This Row],[NAME UPPER]])</f>
        <v>Nathaniel Flores</v>
      </c>
      <c r="T333" t="str">
        <f t="shared" si="28"/>
        <v>UK</v>
      </c>
      <c r="U333" t="str">
        <f t="shared" si="25"/>
        <v xml:space="preserve">aniel </v>
      </c>
      <c r="V333" t="str">
        <f t="shared" si="29"/>
        <v>32</v>
      </c>
    </row>
    <row r="334" spans="1:22" x14ac:dyDescent="0.3">
      <c r="A334" s="1" t="s">
        <v>757</v>
      </c>
      <c r="B334" s="1" t="s">
        <v>758</v>
      </c>
      <c r="C334" s="1" t="s">
        <v>101</v>
      </c>
      <c r="D334">
        <v>60</v>
      </c>
      <c r="E334" s="1" t="s">
        <v>64</v>
      </c>
      <c r="F334" s="1" t="s">
        <v>26</v>
      </c>
      <c r="G334" s="1" t="s">
        <v>98</v>
      </c>
      <c r="H334">
        <v>34</v>
      </c>
      <c r="J334">
        <v>2.5</v>
      </c>
      <c r="K334" t="b">
        <v>0</v>
      </c>
      <c r="L334">
        <v>0.93</v>
      </c>
      <c r="M334" s="1" t="s">
        <v>77</v>
      </c>
      <c r="N334" s="1" t="s">
        <v>65</v>
      </c>
      <c r="O334">
        <v>20</v>
      </c>
      <c r="P334">
        <v>9</v>
      </c>
      <c r="Q334" t="str">
        <f t="shared" si="26"/>
        <v>EDWIN CARTER</v>
      </c>
      <c r="R334" t="str">
        <f t="shared" si="27"/>
        <v>us</v>
      </c>
      <c r="S334" t="str">
        <f>PROPER(global_freelancer_raw[[#This Row],[NAME UPPER]])</f>
        <v>Edwin Carter</v>
      </c>
      <c r="T334" t="str">
        <f t="shared" si="28"/>
        <v>US</v>
      </c>
      <c r="U334" t="str">
        <f t="shared" si="25"/>
        <v>n Cart</v>
      </c>
      <c r="V334" t="str">
        <f t="shared" si="29"/>
        <v>33</v>
      </c>
    </row>
    <row r="335" spans="1:22" x14ac:dyDescent="0.3">
      <c r="A335" s="1" t="s">
        <v>759</v>
      </c>
      <c r="B335" s="1" t="s">
        <v>760</v>
      </c>
      <c r="C335" s="1" t="s">
        <v>24</v>
      </c>
      <c r="D335">
        <v>33</v>
      </c>
      <c r="E335" s="1" t="s">
        <v>33</v>
      </c>
      <c r="F335" s="1" t="s">
        <v>33</v>
      </c>
      <c r="G335" s="1" t="s">
        <v>27</v>
      </c>
      <c r="H335">
        <v>8</v>
      </c>
      <c r="I335" t="s">
        <v>118</v>
      </c>
      <c r="J335">
        <v>3.6</v>
      </c>
      <c r="K335">
        <v>1</v>
      </c>
      <c r="M335" s="1" t="s">
        <v>51</v>
      </c>
      <c r="N335" s="1" t="s">
        <v>65</v>
      </c>
      <c r="O335">
        <v>8</v>
      </c>
      <c r="P335">
        <v>3</v>
      </c>
      <c r="Q335" t="str">
        <f t="shared" si="26"/>
        <v>PATRICIA MILLER</v>
      </c>
      <c r="R335" t="str">
        <f t="shared" si="27"/>
        <v>germany</v>
      </c>
      <c r="S335" t="str">
        <f>PROPER(global_freelancer_raw[[#This Row],[NAME UPPER]])</f>
        <v>Patricia Miller</v>
      </c>
      <c r="T335" t="str">
        <f t="shared" si="28"/>
        <v>Ge</v>
      </c>
      <c r="U335" t="str">
        <f t="shared" si="25"/>
        <v>icia M</v>
      </c>
      <c r="V335" t="str">
        <f t="shared" si="29"/>
        <v>34</v>
      </c>
    </row>
    <row r="336" spans="1:22" x14ac:dyDescent="0.3">
      <c r="A336" s="1" t="s">
        <v>761</v>
      </c>
      <c r="B336" s="1" t="s">
        <v>762</v>
      </c>
      <c r="C336" s="1" t="s">
        <v>86</v>
      </c>
      <c r="D336">
        <v>21</v>
      </c>
      <c r="E336" s="1" t="s">
        <v>80</v>
      </c>
      <c r="F336" s="1" t="s">
        <v>81</v>
      </c>
      <c r="G336" s="1" t="s">
        <v>40</v>
      </c>
      <c r="H336">
        <v>1</v>
      </c>
      <c r="I336" t="s">
        <v>323</v>
      </c>
      <c r="K336" t="b">
        <v>0</v>
      </c>
      <c r="L336">
        <v>0.99</v>
      </c>
      <c r="M336" s="1" t="s">
        <v>51</v>
      </c>
      <c r="N336" s="1" t="s">
        <v>29</v>
      </c>
      <c r="O336">
        <v>4</v>
      </c>
      <c r="P336">
        <v>2</v>
      </c>
      <c r="Q336" t="str">
        <f t="shared" si="26"/>
        <v>REBECCA SCHNEIDER</v>
      </c>
      <c r="R336" t="str">
        <f t="shared" si="27"/>
        <v>argentina</v>
      </c>
      <c r="S336" t="str">
        <f>PROPER(global_freelancer_raw[[#This Row],[NAME UPPER]])</f>
        <v>Rebecca Schneider</v>
      </c>
      <c r="T336" t="str">
        <f t="shared" si="28"/>
        <v>Ar</v>
      </c>
      <c r="U336" t="str">
        <f t="shared" si="25"/>
        <v>cca Sc</v>
      </c>
      <c r="V336" t="str">
        <f t="shared" si="29"/>
        <v>35</v>
      </c>
    </row>
    <row r="337" spans="1:22" x14ac:dyDescent="0.3">
      <c r="A337" s="1" t="s">
        <v>763</v>
      </c>
      <c r="B337" s="1" t="s">
        <v>764</v>
      </c>
      <c r="C337" s="1" t="s">
        <v>32</v>
      </c>
      <c r="D337">
        <v>54</v>
      </c>
      <c r="E337" s="1" t="s">
        <v>75</v>
      </c>
      <c r="F337" s="1" t="s">
        <v>26</v>
      </c>
      <c r="G337" s="1" t="s">
        <v>82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s="1" t="s">
        <v>72</v>
      </c>
      <c r="N337" s="1" t="s">
        <v>65</v>
      </c>
      <c r="O337">
        <v>20</v>
      </c>
      <c r="P337">
        <v>12</v>
      </c>
      <c r="Q337" t="str">
        <f t="shared" si="26"/>
        <v>JOHN GREENE</v>
      </c>
      <c r="R337" t="str">
        <f t="shared" si="27"/>
        <v>uk</v>
      </c>
      <c r="S337" t="str">
        <f>PROPER(global_freelancer_raw[[#This Row],[NAME UPPER]])</f>
        <v>John Greene</v>
      </c>
      <c r="T337" t="str">
        <f t="shared" si="28"/>
        <v>UK</v>
      </c>
      <c r="U337" t="str">
        <f t="shared" si="25"/>
        <v xml:space="preserve"> Green</v>
      </c>
      <c r="V337" t="str">
        <f t="shared" si="29"/>
        <v>36</v>
      </c>
    </row>
    <row r="338" spans="1:22" x14ac:dyDescent="0.3">
      <c r="A338" s="1" t="s">
        <v>765</v>
      </c>
      <c r="B338" s="1" t="s">
        <v>766</v>
      </c>
      <c r="C338" s="1" t="s">
        <v>86</v>
      </c>
      <c r="D338">
        <v>33</v>
      </c>
      <c r="E338" s="1" t="s">
        <v>64</v>
      </c>
      <c r="F338" s="1" t="s">
        <v>26</v>
      </c>
      <c r="G338" s="1" t="s">
        <v>34</v>
      </c>
      <c r="H338">
        <v>11</v>
      </c>
      <c r="I338">
        <v>75</v>
      </c>
      <c r="J338">
        <v>2.1</v>
      </c>
      <c r="K338">
        <v>0</v>
      </c>
      <c r="L338">
        <v>0.96</v>
      </c>
      <c r="M338" s="1" t="s">
        <v>20</v>
      </c>
      <c r="N338" s="1" t="s">
        <v>65</v>
      </c>
      <c r="O338">
        <v>7</v>
      </c>
      <c r="P338">
        <v>5</v>
      </c>
      <c r="Q338" t="str">
        <f t="shared" si="26"/>
        <v>BRITTANY MCDOWELL</v>
      </c>
      <c r="R338" t="str">
        <f t="shared" si="27"/>
        <v>us</v>
      </c>
      <c r="S338" t="str">
        <f>PROPER(global_freelancer_raw[[#This Row],[NAME UPPER]])</f>
        <v>Brittany Mcdowell</v>
      </c>
      <c r="T338" t="str">
        <f t="shared" si="28"/>
        <v>US</v>
      </c>
      <c r="U338" t="str">
        <f t="shared" si="25"/>
        <v>tany M</v>
      </c>
      <c r="V338" t="str">
        <f t="shared" si="29"/>
        <v>37</v>
      </c>
    </row>
    <row r="339" spans="1:22" x14ac:dyDescent="0.3">
      <c r="A339" s="1" t="s">
        <v>767</v>
      </c>
      <c r="B339" s="1" t="s">
        <v>768</v>
      </c>
      <c r="C339" s="1" t="s">
        <v>86</v>
      </c>
      <c r="D339">
        <v>57</v>
      </c>
      <c r="E339" s="1" t="s">
        <v>69</v>
      </c>
      <c r="F339" s="1" t="s">
        <v>70</v>
      </c>
      <c r="G339" s="1" t="s">
        <v>57</v>
      </c>
      <c r="H339">
        <v>2</v>
      </c>
      <c r="I339">
        <v>40</v>
      </c>
      <c r="J339">
        <v>0</v>
      </c>
      <c r="K339" t="b">
        <v>0</v>
      </c>
      <c r="L339">
        <v>0.6</v>
      </c>
      <c r="M339" s="1" t="s">
        <v>72</v>
      </c>
      <c r="N339" s="1" t="s">
        <v>29</v>
      </c>
      <c r="O339">
        <v>5</v>
      </c>
      <c r="P339">
        <v>2</v>
      </c>
      <c r="Q339" t="str">
        <f t="shared" si="26"/>
        <v>LORI MILLER</v>
      </c>
      <c r="R339" t="str">
        <f t="shared" si="27"/>
        <v>turkey</v>
      </c>
      <c r="S339" t="str">
        <f>PROPER(global_freelancer_raw[[#This Row],[NAME UPPER]])</f>
        <v>Lori Miller</v>
      </c>
      <c r="T339" t="str">
        <f t="shared" si="28"/>
        <v>Tu</v>
      </c>
      <c r="U339" t="str">
        <f t="shared" si="25"/>
        <v xml:space="preserve"> Mille</v>
      </c>
      <c r="V339" t="str">
        <f t="shared" si="29"/>
        <v>38</v>
      </c>
    </row>
    <row r="340" spans="1:22" x14ac:dyDescent="0.3">
      <c r="A340" s="1" t="s">
        <v>769</v>
      </c>
      <c r="B340" s="1" t="s">
        <v>770</v>
      </c>
      <c r="C340" s="1" t="s">
        <v>101</v>
      </c>
      <c r="D340">
        <v>36</v>
      </c>
      <c r="E340" s="1" t="s">
        <v>121</v>
      </c>
      <c r="F340" s="1" t="s">
        <v>122</v>
      </c>
      <c r="G340" s="1" t="s">
        <v>34</v>
      </c>
      <c r="H340">
        <v>6</v>
      </c>
      <c r="I340">
        <v>20</v>
      </c>
      <c r="J340">
        <v>1</v>
      </c>
      <c r="K340" t="s">
        <v>83</v>
      </c>
      <c r="L340">
        <v>0.64</v>
      </c>
      <c r="M340" s="1" t="s">
        <v>20</v>
      </c>
      <c r="N340" s="1" t="s">
        <v>65</v>
      </c>
      <c r="O340">
        <v>15</v>
      </c>
      <c r="P340">
        <v>6</v>
      </c>
      <c r="Q340" t="str">
        <f t="shared" si="26"/>
        <v>JOSEPH ROBINSON</v>
      </c>
      <c r="R340" t="str">
        <f t="shared" si="27"/>
        <v>south korea</v>
      </c>
      <c r="S340" t="str">
        <f>PROPER(global_freelancer_raw[[#This Row],[NAME UPPER]])</f>
        <v>Joseph Robinson</v>
      </c>
      <c r="T340" t="str">
        <f t="shared" si="28"/>
        <v>So</v>
      </c>
      <c r="U340" t="str">
        <f t="shared" si="25"/>
        <v>ph Rob</v>
      </c>
      <c r="V340" t="str">
        <f t="shared" si="29"/>
        <v>39</v>
      </c>
    </row>
    <row r="341" spans="1:22" x14ac:dyDescent="0.3">
      <c r="A341" s="1" t="s">
        <v>771</v>
      </c>
      <c r="B341" s="1" t="s">
        <v>772</v>
      </c>
      <c r="C341" s="1" t="s">
        <v>106</v>
      </c>
      <c r="D341">
        <v>50</v>
      </c>
      <c r="E341" s="1" t="s">
        <v>33</v>
      </c>
      <c r="F341" s="1" t="s">
        <v>33</v>
      </c>
      <c r="G341" s="1" t="s">
        <v>19</v>
      </c>
      <c r="H341">
        <v>20</v>
      </c>
      <c r="I341" t="s">
        <v>118</v>
      </c>
      <c r="J341">
        <v>0</v>
      </c>
      <c r="K341">
        <v>0</v>
      </c>
      <c r="M341" s="1" t="s">
        <v>20</v>
      </c>
      <c r="N341" s="1" t="s">
        <v>21</v>
      </c>
      <c r="O341">
        <v>18</v>
      </c>
      <c r="P341">
        <v>7</v>
      </c>
      <c r="Q341" t="str">
        <f t="shared" si="26"/>
        <v>AARON PRUITT</v>
      </c>
      <c r="R341" t="str">
        <f t="shared" si="27"/>
        <v>germany</v>
      </c>
      <c r="S341" t="str">
        <f>PROPER(global_freelancer_raw[[#This Row],[NAME UPPER]])</f>
        <v>Aaron Pruitt</v>
      </c>
      <c r="T341" t="str">
        <f t="shared" si="28"/>
        <v>Ge</v>
      </c>
      <c r="U341" t="str">
        <f t="shared" si="25"/>
        <v>n Prui</v>
      </c>
      <c r="V341" t="str">
        <f t="shared" si="29"/>
        <v>40</v>
      </c>
    </row>
    <row r="342" spans="1:22" x14ac:dyDescent="0.3">
      <c r="A342" s="1" t="s">
        <v>773</v>
      </c>
      <c r="B342" s="1" t="s">
        <v>774</v>
      </c>
      <c r="C342" s="1" t="s">
        <v>16</v>
      </c>
      <c r="D342">
        <v>37</v>
      </c>
      <c r="E342" s="1" t="s">
        <v>137</v>
      </c>
      <c r="F342" s="1" t="s">
        <v>26</v>
      </c>
      <c r="G342" s="1" t="s">
        <v>98</v>
      </c>
      <c r="I342" t="s">
        <v>323</v>
      </c>
      <c r="J342">
        <v>4.9000000000000004</v>
      </c>
      <c r="K342" t="s">
        <v>35</v>
      </c>
      <c r="M342" s="1" t="s">
        <v>51</v>
      </c>
      <c r="N342" s="1" t="s">
        <v>36</v>
      </c>
      <c r="O342">
        <v>5</v>
      </c>
      <c r="P342">
        <v>3</v>
      </c>
      <c r="Q342" t="str">
        <f t="shared" si="26"/>
        <v>VICTORIA MILLER</v>
      </c>
      <c r="R342" t="str">
        <f t="shared" si="27"/>
        <v>canada</v>
      </c>
      <c r="S342" t="str">
        <f>PROPER(global_freelancer_raw[[#This Row],[NAME UPPER]])</f>
        <v>Victoria Miller</v>
      </c>
      <c r="T342" t="str">
        <f t="shared" si="28"/>
        <v>Ca</v>
      </c>
      <c r="U342" t="str">
        <f t="shared" si="25"/>
        <v>oria M</v>
      </c>
      <c r="V342" t="str">
        <f t="shared" si="29"/>
        <v>41</v>
      </c>
    </row>
    <row r="343" spans="1:22" x14ac:dyDescent="0.3">
      <c r="A343" s="1" t="s">
        <v>775</v>
      </c>
      <c r="B343" s="1" t="s">
        <v>776</v>
      </c>
      <c r="C343" s="1" t="s">
        <v>101</v>
      </c>
      <c r="D343">
        <v>53</v>
      </c>
      <c r="E343" s="1" t="s">
        <v>17</v>
      </c>
      <c r="F343" s="1" t="s">
        <v>18</v>
      </c>
      <c r="G343" s="1" t="s">
        <v>49</v>
      </c>
      <c r="H343">
        <v>4</v>
      </c>
      <c r="I343">
        <v>30</v>
      </c>
      <c r="J343">
        <v>4.7</v>
      </c>
      <c r="K343" t="s">
        <v>168</v>
      </c>
      <c r="L343">
        <v>0.99</v>
      </c>
      <c r="M343" s="1" t="s">
        <v>72</v>
      </c>
      <c r="N343" s="1" t="s">
        <v>36</v>
      </c>
      <c r="O343">
        <v>2</v>
      </c>
      <c r="P343">
        <v>1</v>
      </c>
      <c r="Q343" t="str">
        <f t="shared" si="26"/>
        <v>CLARENCE VEGA</v>
      </c>
      <c r="R343" t="str">
        <f t="shared" si="27"/>
        <v>italy</v>
      </c>
      <c r="S343" t="str">
        <f>PROPER(global_freelancer_raw[[#This Row],[NAME UPPER]])</f>
        <v>Clarence Vega</v>
      </c>
      <c r="T343" t="str">
        <f t="shared" si="28"/>
        <v>It</v>
      </c>
      <c r="U343" t="str">
        <f t="shared" si="25"/>
        <v>ence V</v>
      </c>
      <c r="V343" t="str">
        <f t="shared" si="29"/>
        <v>42</v>
      </c>
    </row>
    <row r="344" spans="1:22" x14ac:dyDescent="0.3">
      <c r="A344" s="1" t="s">
        <v>777</v>
      </c>
      <c r="B344" s="1" t="s">
        <v>778</v>
      </c>
      <c r="C344" s="1" t="s">
        <v>86</v>
      </c>
      <c r="D344">
        <v>22</v>
      </c>
      <c r="E344" s="1" t="s">
        <v>17</v>
      </c>
      <c r="F344" s="1" t="s">
        <v>18</v>
      </c>
      <c r="G344" s="1" t="s">
        <v>19</v>
      </c>
      <c r="H344">
        <v>3</v>
      </c>
      <c r="I344" t="s">
        <v>61</v>
      </c>
      <c r="J344">
        <v>2.1</v>
      </c>
      <c r="K344">
        <v>0</v>
      </c>
      <c r="M344" s="1" t="s">
        <v>72</v>
      </c>
      <c r="N344" s="1" t="s">
        <v>36</v>
      </c>
      <c r="O344">
        <v>4</v>
      </c>
      <c r="P344">
        <v>1</v>
      </c>
      <c r="Q344" t="str">
        <f t="shared" si="26"/>
        <v>DEBORAH DAY</v>
      </c>
      <c r="R344" t="str">
        <f t="shared" si="27"/>
        <v>italy</v>
      </c>
      <c r="S344" t="str">
        <f>PROPER(global_freelancer_raw[[#This Row],[NAME UPPER]])</f>
        <v>Deborah Day</v>
      </c>
      <c r="T344" t="str">
        <f t="shared" si="28"/>
        <v>It</v>
      </c>
      <c r="U344" t="str">
        <f t="shared" si="25"/>
        <v>rah Da</v>
      </c>
      <c r="V344" t="str">
        <f t="shared" si="29"/>
        <v>43</v>
      </c>
    </row>
    <row r="345" spans="1:22" x14ac:dyDescent="0.3">
      <c r="A345" s="1" t="s">
        <v>779</v>
      </c>
      <c r="B345" s="1" t="s">
        <v>780</v>
      </c>
      <c r="C345" s="1" t="s">
        <v>86</v>
      </c>
      <c r="D345">
        <v>55</v>
      </c>
      <c r="E345" s="1" t="s">
        <v>47</v>
      </c>
      <c r="F345" s="1" t="s">
        <v>48</v>
      </c>
      <c r="G345" s="1" t="s">
        <v>27</v>
      </c>
      <c r="H345">
        <v>33</v>
      </c>
      <c r="I345">
        <v>40</v>
      </c>
      <c r="J345">
        <v>1.5</v>
      </c>
      <c r="K345" t="s">
        <v>83</v>
      </c>
      <c r="L345">
        <v>0.71</v>
      </c>
      <c r="M345" s="1" t="s">
        <v>20</v>
      </c>
      <c r="N345" s="1" t="s">
        <v>36</v>
      </c>
      <c r="O345">
        <v>10</v>
      </c>
      <c r="P345">
        <v>11</v>
      </c>
      <c r="Q345" t="str">
        <f t="shared" si="26"/>
        <v>NICOLE ROCHA</v>
      </c>
      <c r="R345" t="str">
        <f t="shared" si="27"/>
        <v>netherlands</v>
      </c>
      <c r="S345" t="str">
        <f>PROPER(global_freelancer_raw[[#This Row],[NAME UPPER]])</f>
        <v>Nicole Rocha</v>
      </c>
      <c r="T345" t="str">
        <f t="shared" si="28"/>
        <v>Ne</v>
      </c>
      <c r="U345" t="str">
        <f t="shared" si="25"/>
        <v>le Roc</v>
      </c>
      <c r="V345" t="str">
        <f t="shared" si="29"/>
        <v>44</v>
      </c>
    </row>
    <row r="346" spans="1:22" x14ac:dyDescent="0.3">
      <c r="A346" s="1" t="s">
        <v>781</v>
      </c>
      <c r="B346" s="1" t="s">
        <v>782</v>
      </c>
      <c r="C346" s="1" t="s">
        <v>68</v>
      </c>
      <c r="D346">
        <v>22</v>
      </c>
      <c r="E346" s="1" t="s">
        <v>25</v>
      </c>
      <c r="F346" s="1" t="s">
        <v>26</v>
      </c>
      <c r="G346" s="1" t="s">
        <v>87</v>
      </c>
      <c r="H346">
        <v>1</v>
      </c>
      <c r="J346">
        <v>2.6</v>
      </c>
      <c r="K346">
        <v>0</v>
      </c>
      <c r="L346">
        <v>0.72</v>
      </c>
      <c r="M346" s="1" t="s">
        <v>72</v>
      </c>
      <c r="N346" s="1" t="s">
        <v>29</v>
      </c>
      <c r="O346">
        <v>5</v>
      </c>
      <c r="P346">
        <v>1</v>
      </c>
      <c r="Q346" t="str">
        <f t="shared" si="26"/>
        <v>ELIJAH GREEN</v>
      </c>
      <c r="R346" t="str">
        <f t="shared" si="27"/>
        <v>australia</v>
      </c>
      <c r="S346" t="str">
        <f>PROPER(global_freelancer_raw[[#This Row],[NAME UPPER]])</f>
        <v>Elijah Green</v>
      </c>
      <c r="T346" t="str">
        <f t="shared" si="28"/>
        <v>Au</v>
      </c>
      <c r="U346" t="str">
        <f t="shared" si="25"/>
        <v>ah Gre</v>
      </c>
      <c r="V346" t="str">
        <f t="shared" si="29"/>
        <v>45</v>
      </c>
    </row>
    <row r="347" spans="1:22" x14ac:dyDescent="0.3">
      <c r="A347" s="1" t="s">
        <v>783</v>
      </c>
      <c r="B347" s="1" t="s">
        <v>784</v>
      </c>
      <c r="C347" s="1" t="s">
        <v>16</v>
      </c>
      <c r="D347">
        <v>45</v>
      </c>
      <c r="E347" s="1" t="s">
        <v>69</v>
      </c>
      <c r="F347" s="1" t="s">
        <v>70</v>
      </c>
      <c r="G347" s="1" t="s">
        <v>40</v>
      </c>
      <c r="H347">
        <v>23</v>
      </c>
      <c r="I347" t="s">
        <v>107</v>
      </c>
      <c r="J347">
        <v>0</v>
      </c>
      <c r="K347">
        <v>0</v>
      </c>
      <c r="L347">
        <v>0.66</v>
      </c>
      <c r="M347" s="1" t="s">
        <v>77</v>
      </c>
      <c r="N347" s="1" t="s">
        <v>36</v>
      </c>
      <c r="O347">
        <v>10</v>
      </c>
      <c r="P347">
        <v>6</v>
      </c>
      <c r="Q347" t="str">
        <f t="shared" si="26"/>
        <v>EMILY JOHNSON</v>
      </c>
      <c r="R347" t="str">
        <f t="shared" si="27"/>
        <v>turkey</v>
      </c>
      <c r="S347" t="str">
        <f>PROPER(global_freelancer_raw[[#This Row],[NAME UPPER]])</f>
        <v>Emily Johnson</v>
      </c>
      <c r="T347" t="str">
        <f t="shared" si="28"/>
        <v>Tu</v>
      </c>
      <c r="U347" t="str">
        <f t="shared" si="25"/>
        <v>y John</v>
      </c>
      <c r="V347" t="str">
        <f t="shared" si="29"/>
        <v>46</v>
      </c>
    </row>
    <row r="348" spans="1:22" x14ac:dyDescent="0.3">
      <c r="A348" s="1" t="s">
        <v>785</v>
      </c>
      <c r="B348" s="1" t="s">
        <v>786</v>
      </c>
      <c r="C348" s="1" t="s">
        <v>101</v>
      </c>
      <c r="D348">
        <v>36</v>
      </c>
      <c r="E348" s="1" t="s">
        <v>144</v>
      </c>
      <c r="F348" s="1" t="s">
        <v>145</v>
      </c>
      <c r="G348" s="1" t="s">
        <v>57</v>
      </c>
      <c r="H348">
        <v>13</v>
      </c>
      <c r="I348">
        <v>40</v>
      </c>
      <c r="K348" t="s">
        <v>35</v>
      </c>
      <c r="L348">
        <v>0.78</v>
      </c>
      <c r="M348" s="1" t="s">
        <v>77</v>
      </c>
      <c r="N348" s="1" t="s">
        <v>36</v>
      </c>
      <c r="O348">
        <v>15</v>
      </c>
      <c r="P348">
        <v>10</v>
      </c>
      <c r="Q348" t="str">
        <f t="shared" si="26"/>
        <v>RICHARD VELASQUEZ JR.</v>
      </c>
      <c r="R348" t="str">
        <f t="shared" si="27"/>
        <v>france</v>
      </c>
      <c r="S348" t="str">
        <f>PROPER(global_freelancer_raw[[#This Row],[NAME UPPER]])</f>
        <v>Richard Velasquez Jr.</v>
      </c>
      <c r="T348" t="str">
        <f t="shared" si="28"/>
        <v>Fr</v>
      </c>
      <c r="U348" t="str">
        <f t="shared" si="25"/>
        <v>ard Ve</v>
      </c>
      <c r="V348" t="str">
        <f t="shared" si="29"/>
        <v>47</v>
      </c>
    </row>
    <row r="349" spans="1:22" x14ac:dyDescent="0.3">
      <c r="A349" s="1" t="s">
        <v>787</v>
      </c>
      <c r="B349" s="1" t="s">
        <v>788</v>
      </c>
      <c r="C349" s="1" t="s">
        <v>54</v>
      </c>
      <c r="D349">
        <v>23</v>
      </c>
      <c r="E349" s="1" t="s">
        <v>25</v>
      </c>
      <c r="F349" s="1" t="s">
        <v>26</v>
      </c>
      <c r="G349" s="1" t="s">
        <v>98</v>
      </c>
      <c r="H349">
        <v>1</v>
      </c>
      <c r="I349" t="s">
        <v>323</v>
      </c>
      <c r="J349">
        <v>4</v>
      </c>
      <c r="K349" t="s">
        <v>83</v>
      </c>
      <c r="L349">
        <v>100</v>
      </c>
      <c r="M349" s="1" t="s">
        <v>72</v>
      </c>
      <c r="N349" s="1" t="s">
        <v>36</v>
      </c>
      <c r="O349">
        <v>1</v>
      </c>
      <c r="P349">
        <v>3</v>
      </c>
      <c r="Q349" t="str">
        <f t="shared" si="26"/>
        <v>KURT WILSON</v>
      </c>
      <c r="R349" t="str">
        <f t="shared" si="27"/>
        <v>australia</v>
      </c>
      <c r="S349" t="str">
        <f>PROPER(global_freelancer_raw[[#This Row],[NAME UPPER]])</f>
        <v>Kurt Wilson</v>
      </c>
      <c r="T349" t="str">
        <f t="shared" si="28"/>
        <v>Au</v>
      </c>
      <c r="U349" t="str">
        <f t="shared" si="25"/>
        <v xml:space="preserve"> Wilso</v>
      </c>
      <c r="V349" t="str">
        <f t="shared" si="29"/>
        <v>48</v>
      </c>
    </row>
    <row r="350" spans="1:22" x14ac:dyDescent="0.3">
      <c r="A350" s="1" t="s">
        <v>789</v>
      </c>
      <c r="B350" s="1" t="s">
        <v>790</v>
      </c>
      <c r="C350" s="1" t="s">
        <v>101</v>
      </c>
      <c r="D350">
        <v>55</v>
      </c>
      <c r="E350" s="1" t="s">
        <v>17</v>
      </c>
      <c r="F350" s="1" t="s">
        <v>18</v>
      </c>
      <c r="G350" s="1" t="s">
        <v>98</v>
      </c>
      <c r="H350">
        <v>15</v>
      </c>
      <c r="I350">
        <v>40</v>
      </c>
      <c r="J350">
        <v>4.5</v>
      </c>
      <c r="M350" s="1" t="s">
        <v>72</v>
      </c>
      <c r="N350" s="1" t="s">
        <v>36</v>
      </c>
      <c r="O350">
        <v>9</v>
      </c>
      <c r="P350">
        <v>10</v>
      </c>
      <c r="Q350" t="str">
        <f t="shared" si="26"/>
        <v>JEREMIAH RODRIGUEZ</v>
      </c>
      <c r="R350" t="str">
        <f t="shared" si="27"/>
        <v>italy</v>
      </c>
      <c r="S350" t="str">
        <f>PROPER(global_freelancer_raw[[#This Row],[NAME UPPER]])</f>
        <v>Jeremiah Rodriguez</v>
      </c>
      <c r="T350" t="str">
        <f t="shared" si="28"/>
        <v>It</v>
      </c>
      <c r="U350" t="str">
        <f t="shared" si="25"/>
        <v>miah R</v>
      </c>
      <c r="V350" t="str">
        <f t="shared" si="29"/>
        <v>49</v>
      </c>
    </row>
    <row r="351" spans="1:22" x14ac:dyDescent="0.3">
      <c r="A351" s="1" t="s">
        <v>791</v>
      </c>
      <c r="B351" s="1" t="s">
        <v>792</v>
      </c>
      <c r="C351" s="1" t="s">
        <v>39</v>
      </c>
      <c r="D351">
        <v>50</v>
      </c>
      <c r="E351" s="1" t="s">
        <v>116</v>
      </c>
      <c r="F351" s="1" t="s">
        <v>117</v>
      </c>
      <c r="G351" s="1" t="s">
        <v>27</v>
      </c>
      <c r="H351">
        <v>18</v>
      </c>
      <c r="I351">
        <v>75</v>
      </c>
      <c r="J351">
        <v>3.8</v>
      </c>
      <c r="K351">
        <v>0</v>
      </c>
      <c r="L351">
        <v>67</v>
      </c>
      <c r="M351" s="1" t="s">
        <v>20</v>
      </c>
      <c r="N351" s="1" t="s">
        <v>21</v>
      </c>
      <c r="O351">
        <v>14</v>
      </c>
      <c r="P351">
        <v>6</v>
      </c>
      <c r="Q351" t="str">
        <f t="shared" si="26"/>
        <v>LAUREN LANG</v>
      </c>
      <c r="R351" t="str">
        <f t="shared" si="27"/>
        <v>brazil</v>
      </c>
      <c r="S351" t="str">
        <f>PROPER(global_freelancer_raw[[#This Row],[NAME UPPER]])</f>
        <v>Lauren Lang</v>
      </c>
      <c r="T351" t="str">
        <f t="shared" si="28"/>
        <v>Br</v>
      </c>
      <c r="U351" t="str">
        <f t="shared" si="25"/>
        <v>en Lan</v>
      </c>
      <c r="V351" t="str">
        <f t="shared" si="29"/>
        <v>50</v>
      </c>
    </row>
    <row r="352" spans="1:22" x14ac:dyDescent="0.3">
      <c r="A352" s="1" t="s">
        <v>793</v>
      </c>
      <c r="B352" s="1" t="s">
        <v>794</v>
      </c>
      <c r="C352" s="1" t="s">
        <v>32</v>
      </c>
      <c r="D352">
        <v>48</v>
      </c>
      <c r="E352" s="1" t="s">
        <v>64</v>
      </c>
      <c r="F352" s="1" t="s">
        <v>26</v>
      </c>
      <c r="G352" s="1" t="s">
        <v>123</v>
      </c>
      <c r="H352">
        <v>21</v>
      </c>
      <c r="I352">
        <v>50</v>
      </c>
      <c r="J352">
        <v>4</v>
      </c>
      <c r="K352">
        <v>0</v>
      </c>
      <c r="L352">
        <v>0.78</v>
      </c>
      <c r="M352" s="1" t="s">
        <v>77</v>
      </c>
      <c r="N352" s="1" t="s">
        <v>36</v>
      </c>
      <c r="O352">
        <v>20</v>
      </c>
      <c r="P352">
        <v>7</v>
      </c>
      <c r="Q352" t="str">
        <f t="shared" si="26"/>
        <v>MATTHEW PHILLIPS</v>
      </c>
      <c r="R352" t="str">
        <f t="shared" si="27"/>
        <v>us</v>
      </c>
      <c r="S352" t="str">
        <f>PROPER(global_freelancer_raw[[#This Row],[NAME UPPER]])</f>
        <v>Matthew Phillips</v>
      </c>
      <c r="T352" t="str">
        <f t="shared" si="28"/>
        <v>US</v>
      </c>
      <c r="U352" t="str">
        <f t="shared" si="25"/>
        <v>hew Ph</v>
      </c>
      <c r="V352" t="str">
        <f t="shared" si="29"/>
        <v>51</v>
      </c>
    </row>
    <row r="353" spans="1:22" x14ac:dyDescent="0.3">
      <c r="A353" s="1" t="s">
        <v>795</v>
      </c>
      <c r="B353" s="1" t="s">
        <v>796</v>
      </c>
      <c r="C353" s="1" t="s">
        <v>68</v>
      </c>
      <c r="D353">
        <v>23</v>
      </c>
      <c r="E353" s="1" t="s">
        <v>47</v>
      </c>
      <c r="F353" s="1" t="s">
        <v>48</v>
      </c>
      <c r="G353" s="1" t="s">
        <v>98</v>
      </c>
      <c r="H353">
        <v>1</v>
      </c>
      <c r="I353" t="s">
        <v>41</v>
      </c>
      <c r="J353">
        <v>4.9000000000000004</v>
      </c>
      <c r="K353" t="s">
        <v>76</v>
      </c>
      <c r="L353">
        <v>0.78</v>
      </c>
      <c r="M353" s="1" t="s">
        <v>77</v>
      </c>
      <c r="N353" s="1" t="s">
        <v>21</v>
      </c>
      <c r="O353">
        <v>3</v>
      </c>
      <c r="P353">
        <v>3</v>
      </c>
      <c r="Q353" t="str">
        <f t="shared" si="26"/>
        <v>MICHAEL ANDERSEN</v>
      </c>
      <c r="R353" t="str">
        <f t="shared" si="27"/>
        <v>netherlands</v>
      </c>
      <c r="S353" t="str">
        <f>PROPER(global_freelancer_raw[[#This Row],[NAME UPPER]])</f>
        <v>Michael Andersen</v>
      </c>
      <c r="T353" t="str">
        <f t="shared" si="28"/>
        <v>Ne</v>
      </c>
      <c r="U353" t="str">
        <f t="shared" si="25"/>
        <v>ael An</v>
      </c>
      <c r="V353" t="str">
        <f t="shared" si="29"/>
        <v>52</v>
      </c>
    </row>
    <row r="354" spans="1:22" x14ac:dyDescent="0.3">
      <c r="A354" s="1" t="s">
        <v>797</v>
      </c>
      <c r="B354" s="1" t="s">
        <v>798</v>
      </c>
      <c r="C354" s="1" t="s">
        <v>16</v>
      </c>
      <c r="D354">
        <v>49</v>
      </c>
      <c r="E354" s="1" t="s">
        <v>137</v>
      </c>
      <c r="F354" s="1" t="s">
        <v>26</v>
      </c>
      <c r="G354" s="1" t="s">
        <v>40</v>
      </c>
      <c r="H354">
        <v>25</v>
      </c>
      <c r="I354" t="s">
        <v>50</v>
      </c>
      <c r="J354">
        <v>3.4</v>
      </c>
      <c r="K354">
        <v>0</v>
      </c>
      <c r="L354">
        <v>0.75</v>
      </c>
      <c r="M354" s="1" t="s">
        <v>51</v>
      </c>
      <c r="N354" s="1" t="s">
        <v>29</v>
      </c>
      <c r="O354">
        <v>15</v>
      </c>
      <c r="P354">
        <v>10</v>
      </c>
      <c r="Q354" t="str">
        <f t="shared" si="26"/>
        <v>AMANDA MAYO</v>
      </c>
      <c r="R354" t="str">
        <f t="shared" si="27"/>
        <v>canada</v>
      </c>
      <c r="S354" t="str">
        <f>PROPER(global_freelancer_raw[[#This Row],[NAME UPPER]])</f>
        <v>Amanda Mayo</v>
      </c>
      <c r="T354" t="str">
        <f t="shared" si="28"/>
        <v>Ca</v>
      </c>
      <c r="U354" t="str">
        <f t="shared" si="25"/>
        <v>da May</v>
      </c>
      <c r="V354" t="str">
        <f t="shared" si="29"/>
        <v>53</v>
      </c>
    </row>
    <row r="355" spans="1:22" x14ac:dyDescent="0.3">
      <c r="A355" s="1" t="s">
        <v>799</v>
      </c>
      <c r="B355" s="1" t="s">
        <v>800</v>
      </c>
      <c r="C355" s="1" t="s">
        <v>39</v>
      </c>
      <c r="D355">
        <v>47</v>
      </c>
      <c r="E355" s="1" t="s">
        <v>17</v>
      </c>
      <c r="F355" s="1" t="s">
        <v>18</v>
      </c>
      <c r="G355" s="1" t="s">
        <v>87</v>
      </c>
      <c r="H355">
        <v>12</v>
      </c>
      <c r="I355">
        <v>50</v>
      </c>
      <c r="J355">
        <v>2.1</v>
      </c>
      <c r="K355" t="b">
        <v>1</v>
      </c>
      <c r="L355">
        <v>0.67</v>
      </c>
      <c r="M355" s="1" t="s">
        <v>20</v>
      </c>
      <c r="N355" s="1" t="s">
        <v>65</v>
      </c>
      <c r="O355">
        <v>14</v>
      </c>
      <c r="P355">
        <v>10</v>
      </c>
      <c r="Q355" t="str">
        <f t="shared" si="26"/>
        <v>JESSICA VANCE</v>
      </c>
      <c r="R355" t="str">
        <f t="shared" si="27"/>
        <v>italy</v>
      </c>
      <c r="S355" t="str">
        <f>PROPER(global_freelancer_raw[[#This Row],[NAME UPPER]])</f>
        <v>Jessica Vance</v>
      </c>
      <c r="T355" t="str">
        <f t="shared" si="28"/>
        <v>It</v>
      </c>
      <c r="U355" t="str">
        <f t="shared" si="25"/>
        <v>ica Va</v>
      </c>
      <c r="V355" t="str">
        <f t="shared" si="29"/>
        <v>54</v>
      </c>
    </row>
    <row r="356" spans="1:22" x14ac:dyDescent="0.3">
      <c r="A356" s="1" t="s">
        <v>801</v>
      </c>
      <c r="B356" s="1" t="s">
        <v>802</v>
      </c>
      <c r="C356" s="1" t="s">
        <v>86</v>
      </c>
      <c r="D356">
        <v>56</v>
      </c>
      <c r="E356" s="1" t="s">
        <v>94</v>
      </c>
      <c r="F356" s="1" t="s">
        <v>95</v>
      </c>
      <c r="G356" s="1" t="s">
        <v>34</v>
      </c>
      <c r="H356">
        <v>32</v>
      </c>
      <c r="I356" t="s">
        <v>61</v>
      </c>
      <c r="J356">
        <v>0</v>
      </c>
      <c r="K356">
        <v>1</v>
      </c>
      <c r="L356">
        <v>0.86</v>
      </c>
      <c r="M356" s="1" t="s">
        <v>51</v>
      </c>
      <c r="N356" s="1" t="s">
        <v>36</v>
      </c>
      <c r="O356">
        <v>15</v>
      </c>
      <c r="P356">
        <v>5</v>
      </c>
      <c r="Q356" t="str">
        <f t="shared" si="26"/>
        <v>ALEXA GALLEGOS</v>
      </c>
      <c r="R356" t="str">
        <f t="shared" si="27"/>
        <v>japan</v>
      </c>
      <c r="S356" t="str">
        <f>PROPER(global_freelancer_raw[[#This Row],[NAME UPPER]])</f>
        <v>Alexa Gallegos</v>
      </c>
      <c r="T356" t="str">
        <f t="shared" si="28"/>
        <v>Ja</v>
      </c>
      <c r="U356" t="str">
        <f t="shared" si="25"/>
        <v>a Gall</v>
      </c>
      <c r="V356" t="str">
        <f t="shared" si="29"/>
        <v>55</v>
      </c>
    </row>
    <row r="357" spans="1:22" x14ac:dyDescent="0.3">
      <c r="A357" s="1" t="s">
        <v>803</v>
      </c>
      <c r="B357" s="1" t="s">
        <v>804</v>
      </c>
      <c r="C357" s="1" t="s">
        <v>68</v>
      </c>
      <c r="D357">
        <v>58</v>
      </c>
      <c r="E357" s="1" t="s">
        <v>80</v>
      </c>
      <c r="F357" s="1" t="s">
        <v>81</v>
      </c>
      <c r="G357" s="1" t="s">
        <v>82</v>
      </c>
      <c r="I357">
        <v>100</v>
      </c>
      <c r="J357">
        <v>4.5</v>
      </c>
      <c r="K357" t="s">
        <v>168</v>
      </c>
      <c r="L357">
        <v>77</v>
      </c>
      <c r="M357" s="1" t="s">
        <v>77</v>
      </c>
      <c r="N357" s="1" t="s">
        <v>65</v>
      </c>
      <c r="O357">
        <v>3</v>
      </c>
      <c r="P357">
        <v>1</v>
      </c>
      <c r="Q357" t="str">
        <f t="shared" si="26"/>
        <v>CHARLES PRATT</v>
      </c>
      <c r="R357" t="str">
        <f t="shared" si="27"/>
        <v>argentina</v>
      </c>
      <c r="S357" t="str">
        <f>PROPER(global_freelancer_raw[[#This Row],[NAME UPPER]])</f>
        <v>Charles Pratt</v>
      </c>
      <c r="T357" t="str">
        <f t="shared" si="28"/>
        <v>Ar</v>
      </c>
      <c r="U357" t="str">
        <f t="shared" si="25"/>
        <v>les Pr</v>
      </c>
      <c r="V357" t="str">
        <f t="shared" si="29"/>
        <v>56</v>
      </c>
    </row>
    <row r="358" spans="1:22" x14ac:dyDescent="0.3">
      <c r="A358" s="1" t="s">
        <v>805</v>
      </c>
      <c r="B358" s="1" t="s">
        <v>806</v>
      </c>
      <c r="C358" s="1" t="s">
        <v>54</v>
      </c>
      <c r="D358">
        <v>32</v>
      </c>
      <c r="E358" s="1" t="s">
        <v>121</v>
      </c>
      <c r="F358" s="1" t="s">
        <v>122</v>
      </c>
      <c r="G358" s="1" t="s">
        <v>82</v>
      </c>
      <c r="H358">
        <v>10</v>
      </c>
      <c r="I358" t="s">
        <v>50</v>
      </c>
      <c r="J358">
        <v>3.8</v>
      </c>
      <c r="K358">
        <v>0</v>
      </c>
      <c r="L358">
        <v>0.61</v>
      </c>
      <c r="M358" s="1" t="s">
        <v>20</v>
      </c>
      <c r="N358" s="1" t="s">
        <v>65</v>
      </c>
      <c r="O358">
        <v>11</v>
      </c>
      <c r="P358">
        <v>5</v>
      </c>
      <c r="Q358" t="str">
        <f t="shared" si="26"/>
        <v>BRIAN BAKER</v>
      </c>
      <c r="R358" t="str">
        <f t="shared" si="27"/>
        <v>south korea</v>
      </c>
      <c r="S358" t="str">
        <f>PROPER(global_freelancer_raw[[#This Row],[NAME UPPER]])</f>
        <v>Brian Baker</v>
      </c>
      <c r="T358" t="str">
        <f t="shared" si="28"/>
        <v>So</v>
      </c>
      <c r="U358" t="str">
        <f t="shared" si="25"/>
        <v>n Bake</v>
      </c>
      <c r="V358" t="str">
        <f t="shared" si="29"/>
        <v>57</v>
      </c>
    </row>
    <row r="359" spans="1:22" x14ac:dyDescent="0.3">
      <c r="A359" s="1" t="s">
        <v>807</v>
      </c>
      <c r="B359" s="1" t="s">
        <v>808</v>
      </c>
      <c r="C359" s="1" t="s">
        <v>86</v>
      </c>
      <c r="D359">
        <v>52</v>
      </c>
      <c r="E359" s="1" t="s">
        <v>102</v>
      </c>
      <c r="F359" s="1" t="s">
        <v>103</v>
      </c>
      <c r="G359" s="1" t="s">
        <v>82</v>
      </c>
      <c r="H359">
        <v>0</v>
      </c>
      <c r="J359">
        <v>4.3</v>
      </c>
      <c r="K359">
        <v>0</v>
      </c>
      <c r="L359">
        <v>0.9</v>
      </c>
      <c r="M359" s="1" t="s">
        <v>72</v>
      </c>
      <c r="N359" s="1" t="s">
        <v>29</v>
      </c>
      <c r="O359">
        <v>1</v>
      </c>
      <c r="P359">
        <v>1</v>
      </c>
      <c r="Q359" t="str">
        <f t="shared" si="26"/>
        <v>CHRISTINA NORMAN</v>
      </c>
      <c r="R359" t="str">
        <f t="shared" si="27"/>
        <v>india</v>
      </c>
      <c r="S359" t="str">
        <f>PROPER(global_freelancer_raw[[#This Row],[NAME UPPER]])</f>
        <v>Christina Norman</v>
      </c>
      <c r="T359" t="str">
        <f t="shared" si="28"/>
        <v>In</v>
      </c>
      <c r="U359" t="str">
        <f t="shared" si="25"/>
        <v xml:space="preserve">stina </v>
      </c>
      <c r="V359" t="str">
        <f t="shared" si="29"/>
        <v>58</v>
      </c>
    </row>
    <row r="360" spans="1:22" x14ac:dyDescent="0.3">
      <c r="A360" s="1" t="s">
        <v>809</v>
      </c>
      <c r="B360" s="1" t="s">
        <v>810</v>
      </c>
      <c r="C360" s="1" t="s">
        <v>24</v>
      </c>
      <c r="D360">
        <v>22</v>
      </c>
      <c r="E360" s="1" t="s">
        <v>184</v>
      </c>
      <c r="F360" s="1" t="s">
        <v>185</v>
      </c>
      <c r="G360" s="1" t="s">
        <v>57</v>
      </c>
      <c r="H360">
        <v>1</v>
      </c>
      <c r="I360">
        <v>50</v>
      </c>
      <c r="J360">
        <v>0</v>
      </c>
      <c r="L360">
        <v>0.98</v>
      </c>
      <c r="M360" s="1" t="s">
        <v>20</v>
      </c>
      <c r="N360" s="1" t="s">
        <v>65</v>
      </c>
      <c r="O360">
        <v>4</v>
      </c>
      <c r="P360">
        <v>5</v>
      </c>
      <c r="Q360" t="str">
        <f t="shared" si="26"/>
        <v>LAURA KELLY</v>
      </c>
      <c r="R360" t="str">
        <f t="shared" si="27"/>
        <v>china</v>
      </c>
      <c r="S360" t="str">
        <f>PROPER(global_freelancer_raw[[#This Row],[NAME UPPER]])</f>
        <v>Laura Kelly</v>
      </c>
      <c r="T360" t="str">
        <f t="shared" si="28"/>
        <v>Ch</v>
      </c>
      <c r="U360" t="str">
        <f t="shared" si="25"/>
        <v>a Kell</v>
      </c>
      <c r="V360" t="str">
        <f t="shared" si="29"/>
        <v>59</v>
      </c>
    </row>
    <row r="361" spans="1:22" x14ac:dyDescent="0.3">
      <c r="A361" s="1" t="s">
        <v>811</v>
      </c>
      <c r="B361" s="1" t="s">
        <v>812</v>
      </c>
      <c r="C361" s="1" t="s">
        <v>106</v>
      </c>
      <c r="D361">
        <v>20</v>
      </c>
      <c r="E361" s="1" t="s">
        <v>102</v>
      </c>
      <c r="F361" s="1" t="s">
        <v>103</v>
      </c>
      <c r="G361" s="1" t="s">
        <v>87</v>
      </c>
      <c r="H361">
        <v>2</v>
      </c>
      <c r="I361">
        <v>30</v>
      </c>
      <c r="K361">
        <v>1</v>
      </c>
      <c r="L361">
        <v>0.99</v>
      </c>
      <c r="M361" s="1" t="s">
        <v>72</v>
      </c>
      <c r="N361" s="1" t="s">
        <v>21</v>
      </c>
      <c r="O361">
        <v>3</v>
      </c>
      <c r="P361">
        <v>2</v>
      </c>
      <c r="Q361" t="str">
        <f t="shared" si="26"/>
        <v>JOHN WEBB</v>
      </c>
      <c r="R361" t="str">
        <f t="shared" si="27"/>
        <v>india</v>
      </c>
      <c r="S361" t="str">
        <f>PROPER(global_freelancer_raw[[#This Row],[NAME UPPER]])</f>
        <v>John Webb</v>
      </c>
      <c r="T361" t="str">
        <f t="shared" si="28"/>
        <v>In</v>
      </c>
      <c r="U361" t="str">
        <f t="shared" si="25"/>
        <v xml:space="preserve"> Webb</v>
      </c>
      <c r="V361" t="str">
        <f t="shared" si="29"/>
        <v>60</v>
      </c>
    </row>
    <row r="362" spans="1:22" x14ac:dyDescent="0.3">
      <c r="A362" s="1" t="s">
        <v>813</v>
      </c>
      <c r="B362" s="1" t="s">
        <v>814</v>
      </c>
      <c r="C362" s="1" t="s">
        <v>101</v>
      </c>
      <c r="D362">
        <v>56</v>
      </c>
      <c r="E362" s="1" t="s">
        <v>47</v>
      </c>
      <c r="F362" s="1" t="s">
        <v>48</v>
      </c>
      <c r="G362" s="1" t="s">
        <v>57</v>
      </c>
      <c r="H362">
        <v>9</v>
      </c>
      <c r="I362" t="s">
        <v>61</v>
      </c>
      <c r="J362">
        <v>2.6</v>
      </c>
      <c r="K362">
        <v>0</v>
      </c>
      <c r="L362">
        <v>0.61</v>
      </c>
      <c r="M362" s="1" t="s">
        <v>72</v>
      </c>
      <c r="N362" s="1" t="s">
        <v>65</v>
      </c>
      <c r="O362">
        <v>10</v>
      </c>
      <c r="P362">
        <v>5</v>
      </c>
      <c r="Q362" t="str">
        <f t="shared" si="26"/>
        <v>CHRISTOPHER BURTON</v>
      </c>
      <c r="R362" t="str">
        <f t="shared" si="27"/>
        <v>netherlands</v>
      </c>
      <c r="S362" t="str">
        <f>PROPER(global_freelancer_raw[[#This Row],[NAME UPPER]])</f>
        <v>Christopher Burton</v>
      </c>
      <c r="T362" t="str">
        <f t="shared" si="28"/>
        <v>Ne</v>
      </c>
      <c r="U362" t="str">
        <f t="shared" si="25"/>
        <v>stophe</v>
      </c>
      <c r="V362" t="str">
        <f t="shared" si="29"/>
        <v>61</v>
      </c>
    </row>
    <row r="363" spans="1:22" x14ac:dyDescent="0.3">
      <c r="A363" s="1" t="s">
        <v>815</v>
      </c>
      <c r="B363" s="1" t="s">
        <v>816</v>
      </c>
      <c r="C363" s="1" t="s">
        <v>106</v>
      </c>
      <c r="D363">
        <v>41</v>
      </c>
      <c r="E363" s="1" t="s">
        <v>94</v>
      </c>
      <c r="F363" s="1" t="s">
        <v>95</v>
      </c>
      <c r="G363" s="1" t="s">
        <v>57</v>
      </c>
      <c r="H363">
        <v>22</v>
      </c>
      <c r="I363" t="s">
        <v>107</v>
      </c>
      <c r="J363">
        <v>1.6</v>
      </c>
      <c r="K363">
        <v>1</v>
      </c>
      <c r="L363">
        <v>0.61</v>
      </c>
      <c r="M363" s="1" t="s">
        <v>20</v>
      </c>
      <c r="N363" s="1" t="s">
        <v>65</v>
      </c>
      <c r="O363">
        <v>10</v>
      </c>
      <c r="P363">
        <v>10</v>
      </c>
      <c r="Q363" t="str">
        <f t="shared" si="26"/>
        <v>BRADLEY AGUILAR</v>
      </c>
      <c r="R363" t="str">
        <f t="shared" si="27"/>
        <v>japan</v>
      </c>
      <c r="S363" t="str">
        <f>PROPER(global_freelancer_raw[[#This Row],[NAME UPPER]])</f>
        <v>Bradley Aguilar</v>
      </c>
      <c r="T363" t="str">
        <f t="shared" si="28"/>
        <v>Ja</v>
      </c>
      <c r="U363" t="str">
        <f t="shared" si="25"/>
        <v>ley Ag</v>
      </c>
      <c r="V363" t="str">
        <f t="shared" si="29"/>
        <v>62</v>
      </c>
    </row>
    <row r="364" spans="1:22" x14ac:dyDescent="0.3">
      <c r="A364" s="1" t="s">
        <v>817</v>
      </c>
      <c r="B364" s="1" t="s">
        <v>818</v>
      </c>
      <c r="C364" s="1" t="s">
        <v>106</v>
      </c>
      <c r="D364">
        <v>25</v>
      </c>
      <c r="E364" s="1" t="s">
        <v>80</v>
      </c>
      <c r="F364" s="1" t="s">
        <v>81</v>
      </c>
      <c r="G364" s="1" t="s">
        <v>19</v>
      </c>
      <c r="H364">
        <v>5</v>
      </c>
      <c r="I364" t="s">
        <v>50</v>
      </c>
      <c r="J364">
        <v>2.2999999999999998</v>
      </c>
      <c r="K364">
        <v>0</v>
      </c>
      <c r="L364">
        <v>0.91</v>
      </c>
      <c r="M364" s="1" t="s">
        <v>72</v>
      </c>
      <c r="N364" s="1" t="s">
        <v>65</v>
      </c>
      <c r="O364">
        <v>2</v>
      </c>
      <c r="P364">
        <v>1</v>
      </c>
      <c r="Q364" t="str">
        <f t="shared" si="26"/>
        <v>ARTHUR VASQUEZ</v>
      </c>
      <c r="R364" t="str">
        <f t="shared" si="27"/>
        <v>argentina</v>
      </c>
      <c r="S364" t="str">
        <f>PROPER(global_freelancer_raw[[#This Row],[NAME UPPER]])</f>
        <v>Arthur Vasquez</v>
      </c>
      <c r="T364" t="str">
        <f t="shared" si="28"/>
        <v>Ar</v>
      </c>
      <c r="U364" t="str">
        <f t="shared" si="25"/>
        <v>ur Vas</v>
      </c>
      <c r="V364" t="str">
        <f t="shared" si="29"/>
        <v>63</v>
      </c>
    </row>
    <row r="365" spans="1:22" x14ac:dyDescent="0.3">
      <c r="A365" s="1" t="s">
        <v>819</v>
      </c>
      <c r="B365" s="1" t="s">
        <v>820</v>
      </c>
      <c r="C365" s="1" t="s">
        <v>24</v>
      </c>
      <c r="D365">
        <v>44</v>
      </c>
      <c r="E365" s="1" t="s">
        <v>137</v>
      </c>
      <c r="F365" s="1" t="s">
        <v>26</v>
      </c>
      <c r="G365" s="1" t="s">
        <v>87</v>
      </c>
      <c r="H365">
        <v>6</v>
      </c>
      <c r="I365">
        <v>75</v>
      </c>
      <c r="J365">
        <v>4.5999999999999996</v>
      </c>
      <c r="K365" t="s">
        <v>83</v>
      </c>
      <c r="L365">
        <v>72</v>
      </c>
      <c r="M365" s="1" t="s">
        <v>51</v>
      </c>
      <c r="N365" s="1" t="s">
        <v>36</v>
      </c>
      <c r="O365">
        <v>13</v>
      </c>
      <c r="P365">
        <v>1</v>
      </c>
      <c r="Q365" t="str">
        <f t="shared" si="26"/>
        <v>ANGELA CASTRO</v>
      </c>
      <c r="R365" t="str">
        <f t="shared" si="27"/>
        <v>canada</v>
      </c>
      <c r="S365" t="str">
        <f>PROPER(global_freelancer_raw[[#This Row],[NAME UPPER]])</f>
        <v>Angela Castro</v>
      </c>
      <c r="T365" t="str">
        <f t="shared" si="28"/>
        <v>Ca</v>
      </c>
      <c r="U365" t="str">
        <f t="shared" si="25"/>
        <v>la Cas</v>
      </c>
      <c r="V365" t="str">
        <f t="shared" si="29"/>
        <v>64</v>
      </c>
    </row>
    <row r="366" spans="1:22" x14ac:dyDescent="0.3">
      <c r="A366" s="1" t="s">
        <v>821</v>
      </c>
      <c r="B366" s="1" t="s">
        <v>822</v>
      </c>
      <c r="C366" s="1" t="s">
        <v>44</v>
      </c>
      <c r="D366">
        <v>46</v>
      </c>
      <c r="E366" s="1" t="s">
        <v>25</v>
      </c>
      <c r="F366" s="1" t="s">
        <v>26</v>
      </c>
      <c r="G366" s="1" t="s">
        <v>40</v>
      </c>
      <c r="H366">
        <v>26</v>
      </c>
      <c r="I366" t="s">
        <v>238</v>
      </c>
      <c r="J366">
        <v>2.1</v>
      </c>
      <c r="M366" s="1" t="s">
        <v>77</v>
      </c>
      <c r="N366" s="1" t="s">
        <v>36</v>
      </c>
      <c r="O366">
        <v>15</v>
      </c>
      <c r="P366">
        <v>2</v>
      </c>
      <c r="Q366" t="str">
        <f t="shared" si="26"/>
        <v>SUMMER YODER</v>
      </c>
      <c r="R366" t="str">
        <f t="shared" si="27"/>
        <v>australia</v>
      </c>
      <c r="S366" t="str">
        <f>PROPER(global_freelancer_raw[[#This Row],[NAME UPPER]])</f>
        <v>Summer Yoder</v>
      </c>
      <c r="T366" t="str">
        <f t="shared" si="28"/>
        <v>Au</v>
      </c>
      <c r="U366" t="str">
        <f t="shared" si="25"/>
        <v>er Yod</v>
      </c>
      <c r="V366" t="str">
        <f t="shared" si="29"/>
        <v>65</v>
      </c>
    </row>
    <row r="367" spans="1:22" x14ac:dyDescent="0.3">
      <c r="A367" s="1" t="s">
        <v>823</v>
      </c>
      <c r="B367" s="1" t="s">
        <v>824</v>
      </c>
      <c r="C367" s="1" t="s">
        <v>44</v>
      </c>
      <c r="D367">
        <v>40</v>
      </c>
      <c r="E367" s="1" t="s">
        <v>121</v>
      </c>
      <c r="F367" s="1" t="s">
        <v>122</v>
      </c>
      <c r="G367" s="1" t="s">
        <v>19</v>
      </c>
      <c r="I367">
        <v>40</v>
      </c>
      <c r="J367">
        <v>1.5</v>
      </c>
      <c r="K367" t="b">
        <v>0</v>
      </c>
      <c r="L367">
        <v>0.96</v>
      </c>
      <c r="M367" s="1" t="s">
        <v>72</v>
      </c>
      <c r="N367" s="1" t="s">
        <v>21</v>
      </c>
      <c r="O367">
        <v>4</v>
      </c>
      <c r="P367">
        <v>3</v>
      </c>
      <c r="Q367" t="str">
        <f t="shared" si="26"/>
        <v>JACKIE ALLEN</v>
      </c>
      <c r="R367" t="str">
        <f t="shared" si="27"/>
        <v>south korea</v>
      </c>
      <c r="S367" t="str">
        <f>PROPER(global_freelancer_raw[[#This Row],[NAME UPPER]])</f>
        <v>Jackie Allen</v>
      </c>
      <c r="T367" t="str">
        <f t="shared" si="28"/>
        <v>So</v>
      </c>
      <c r="U367" t="str">
        <f t="shared" si="25"/>
        <v>ie All</v>
      </c>
      <c r="V367" t="str">
        <f t="shared" si="29"/>
        <v>66</v>
      </c>
    </row>
    <row r="368" spans="1:22" x14ac:dyDescent="0.3">
      <c r="A368" s="1" t="s">
        <v>825</v>
      </c>
      <c r="B368" s="1" t="s">
        <v>826</v>
      </c>
      <c r="C368" s="1" t="s">
        <v>32</v>
      </c>
      <c r="E368" s="1" t="s">
        <v>184</v>
      </c>
      <c r="F368" s="1" t="s">
        <v>185</v>
      </c>
      <c r="G368" s="1" t="s">
        <v>49</v>
      </c>
      <c r="H368">
        <v>9</v>
      </c>
      <c r="I368" t="s">
        <v>61</v>
      </c>
      <c r="J368">
        <v>1.7</v>
      </c>
      <c r="K368">
        <v>1</v>
      </c>
      <c r="L368">
        <v>72</v>
      </c>
      <c r="M368" s="1" t="s">
        <v>51</v>
      </c>
      <c r="N368" s="1" t="s">
        <v>21</v>
      </c>
      <c r="O368">
        <v>9</v>
      </c>
      <c r="P368">
        <v>12</v>
      </c>
      <c r="Q368" t="str">
        <f t="shared" si="26"/>
        <v>BRANDON WILLIAMS</v>
      </c>
      <c r="R368" t="str">
        <f t="shared" si="27"/>
        <v>china</v>
      </c>
      <c r="S368" t="str">
        <f>PROPER(global_freelancer_raw[[#This Row],[NAME UPPER]])</f>
        <v>Brandon Williams</v>
      </c>
      <c r="T368" t="str">
        <f t="shared" si="28"/>
        <v>Ch</v>
      </c>
      <c r="U368" t="str">
        <f t="shared" si="25"/>
        <v>don Wi</v>
      </c>
      <c r="V368" t="str">
        <f t="shared" si="29"/>
        <v>67</v>
      </c>
    </row>
    <row r="369" spans="1:22" x14ac:dyDescent="0.3">
      <c r="A369" s="1" t="s">
        <v>827</v>
      </c>
      <c r="B369" s="1" t="s">
        <v>828</v>
      </c>
      <c r="C369" s="1" t="s">
        <v>101</v>
      </c>
      <c r="D369">
        <v>31</v>
      </c>
      <c r="E369" s="1" t="s">
        <v>94</v>
      </c>
      <c r="F369" s="1" t="s">
        <v>95</v>
      </c>
      <c r="G369" s="1" t="s">
        <v>57</v>
      </c>
      <c r="H369">
        <v>11</v>
      </c>
      <c r="J369">
        <v>3.3</v>
      </c>
      <c r="K369">
        <v>0</v>
      </c>
      <c r="M369" s="1" t="s">
        <v>72</v>
      </c>
      <c r="N369" s="1" t="s">
        <v>36</v>
      </c>
      <c r="O369">
        <v>15</v>
      </c>
      <c r="P369">
        <v>10</v>
      </c>
      <c r="Q369" t="str">
        <f t="shared" si="26"/>
        <v>MANUEL TORRES</v>
      </c>
      <c r="R369" t="str">
        <f t="shared" si="27"/>
        <v>japan</v>
      </c>
      <c r="S369" t="str">
        <f>PROPER(global_freelancer_raw[[#This Row],[NAME UPPER]])</f>
        <v>Manuel Torres</v>
      </c>
      <c r="T369" t="str">
        <f t="shared" si="28"/>
        <v>Ja</v>
      </c>
      <c r="U369" t="str">
        <f t="shared" si="25"/>
        <v>el Tor</v>
      </c>
      <c r="V369" t="str">
        <f t="shared" si="29"/>
        <v>68</v>
      </c>
    </row>
    <row r="370" spans="1:22" x14ac:dyDescent="0.3">
      <c r="A370" s="1" t="s">
        <v>829</v>
      </c>
      <c r="B370" s="1" t="s">
        <v>830</v>
      </c>
      <c r="C370" s="1" t="s">
        <v>54</v>
      </c>
      <c r="D370">
        <v>33</v>
      </c>
      <c r="E370" s="1" t="s">
        <v>121</v>
      </c>
      <c r="F370" s="1" t="s">
        <v>122</v>
      </c>
      <c r="G370" s="1" t="s">
        <v>123</v>
      </c>
      <c r="I370" t="s">
        <v>41</v>
      </c>
      <c r="J370">
        <v>4.3</v>
      </c>
      <c r="K370">
        <v>1</v>
      </c>
      <c r="L370">
        <v>0.63</v>
      </c>
      <c r="M370" s="1" t="s">
        <v>77</v>
      </c>
      <c r="N370" s="1" t="s">
        <v>21</v>
      </c>
      <c r="O370">
        <v>2</v>
      </c>
      <c r="P370">
        <v>4</v>
      </c>
      <c r="Q370" t="str">
        <f t="shared" si="26"/>
        <v>SCOTT KELLER</v>
      </c>
      <c r="R370" t="str">
        <f t="shared" si="27"/>
        <v>south korea</v>
      </c>
      <c r="S370" t="str">
        <f>PROPER(global_freelancer_raw[[#This Row],[NAME UPPER]])</f>
        <v>Scott Keller</v>
      </c>
      <c r="T370" t="str">
        <f t="shared" si="28"/>
        <v>So</v>
      </c>
      <c r="U370" t="str">
        <f t="shared" si="25"/>
        <v>t Kell</v>
      </c>
      <c r="V370" t="str">
        <f t="shared" si="29"/>
        <v>69</v>
      </c>
    </row>
    <row r="371" spans="1:22" x14ac:dyDescent="0.3">
      <c r="A371" s="1" t="s">
        <v>831</v>
      </c>
      <c r="B371" s="1" t="s">
        <v>832</v>
      </c>
      <c r="C371" s="1" t="s">
        <v>24</v>
      </c>
      <c r="D371">
        <v>31</v>
      </c>
      <c r="E371" s="1" t="s">
        <v>116</v>
      </c>
      <c r="F371" s="1" t="s">
        <v>117</v>
      </c>
      <c r="G371" s="1" t="s">
        <v>123</v>
      </c>
      <c r="H371">
        <v>3</v>
      </c>
      <c r="I371" t="s">
        <v>130</v>
      </c>
      <c r="K371" t="s">
        <v>35</v>
      </c>
      <c r="M371" s="1" t="s">
        <v>51</v>
      </c>
      <c r="N371" s="1" t="s">
        <v>36</v>
      </c>
      <c r="O371">
        <v>1</v>
      </c>
      <c r="P371">
        <v>2</v>
      </c>
      <c r="Q371" t="str">
        <f t="shared" si="26"/>
        <v>DEBORAH BROWN</v>
      </c>
      <c r="R371" t="str">
        <f t="shared" si="27"/>
        <v>brazil</v>
      </c>
      <c r="S371" t="str">
        <f>PROPER(global_freelancer_raw[[#This Row],[NAME UPPER]])</f>
        <v>Deborah Brown</v>
      </c>
      <c r="T371" t="str">
        <f t="shared" si="28"/>
        <v>Br</v>
      </c>
      <c r="U371" t="str">
        <f t="shared" si="25"/>
        <v>rah Br</v>
      </c>
      <c r="V371" t="str">
        <f t="shared" si="29"/>
        <v>70</v>
      </c>
    </row>
    <row r="372" spans="1:22" x14ac:dyDescent="0.3">
      <c r="A372" s="1" t="s">
        <v>833</v>
      </c>
      <c r="B372" s="1" t="s">
        <v>834</v>
      </c>
      <c r="C372" s="1" t="s">
        <v>39</v>
      </c>
      <c r="D372">
        <v>49</v>
      </c>
      <c r="E372" s="1" t="s">
        <v>17</v>
      </c>
      <c r="F372" s="1" t="s">
        <v>18</v>
      </c>
      <c r="G372" s="1" t="s">
        <v>57</v>
      </c>
      <c r="H372">
        <v>15</v>
      </c>
      <c r="I372" t="s">
        <v>58</v>
      </c>
      <c r="J372">
        <v>2.6</v>
      </c>
      <c r="K372" t="s">
        <v>35</v>
      </c>
      <c r="L372">
        <v>0.83</v>
      </c>
      <c r="M372" s="1" t="s">
        <v>77</v>
      </c>
      <c r="N372" s="1" t="s">
        <v>29</v>
      </c>
      <c r="O372">
        <v>13</v>
      </c>
      <c r="P372">
        <v>9</v>
      </c>
      <c r="Q372" t="str">
        <f t="shared" si="26"/>
        <v>JENNIFER LARA</v>
      </c>
      <c r="R372" t="str">
        <f t="shared" si="27"/>
        <v>italy</v>
      </c>
      <c r="S372" t="str">
        <f>PROPER(global_freelancer_raw[[#This Row],[NAME UPPER]])</f>
        <v>Jennifer Lara</v>
      </c>
      <c r="T372" t="str">
        <f t="shared" si="28"/>
        <v>It</v>
      </c>
      <c r="U372" t="str">
        <f t="shared" si="25"/>
        <v>ifer L</v>
      </c>
      <c r="V372" t="str">
        <f t="shared" si="29"/>
        <v>71</v>
      </c>
    </row>
    <row r="373" spans="1:22" x14ac:dyDescent="0.3">
      <c r="A373" s="1" t="s">
        <v>835</v>
      </c>
      <c r="B373" s="1" t="s">
        <v>836</v>
      </c>
      <c r="C373" s="1" t="s">
        <v>32</v>
      </c>
      <c r="D373">
        <v>35</v>
      </c>
      <c r="E373" s="1" t="s">
        <v>188</v>
      </c>
      <c r="F373" s="1" t="s">
        <v>81</v>
      </c>
      <c r="G373" s="1" t="s">
        <v>34</v>
      </c>
      <c r="H373">
        <v>12</v>
      </c>
      <c r="I373" t="s">
        <v>323</v>
      </c>
      <c r="J373">
        <v>4.0999999999999996</v>
      </c>
      <c r="L373">
        <v>0.94</v>
      </c>
      <c r="M373" s="1" t="s">
        <v>77</v>
      </c>
      <c r="N373" s="1" t="s">
        <v>65</v>
      </c>
      <c r="O373">
        <v>8</v>
      </c>
      <c r="P373">
        <v>5</v>
      </c>
      <c r="Q373" t="str">
        <f t="shared" si="26"/>
        <v>JASON SCOTT</v>
      </c>
      <c r="R373" t="str">
        <f t="shared" si="27"/>
        <v>mexico</v>
      </c>
      <c r="S373" t="str">
        <f>PROPER(global_freelancer_raw[[#This Row],[NAME UPPER]])</f>
        <v>Jason Scott</v>
      </c>
      <c r="T373" t="str">
        <f t="shared" si="28"/>
        <v>Me</v>
      </c>
      <c r="U373" t="str">
        <f t="shared" si="25"/>
        <v>n Scot</v>
      </c>
      <c r="V373" t="str">
        <f t="shared" si="29"/>
        <v>72</v>
      </c>
    </row>
    <row r="374" spans="1:22" x14ac:dyDescent="0.3">
      <c r="A374" s="1" t="s">
        <v>837</v>
      </c>
      <c r="B374" s="1" t="s">
        <v>838</v>
      </c>
      <c r="C374" s="1" t="s">
        <v>101</v>
      </c>
      <c r="D374">
        <v>45</v>
      </c>
      <c r="E374" s="1" t="s">
        <v>102</v>
      </c>
      <c r="F374" s="1" t="s">
        <v>103</v>
      </c>
      <c r="G374" s="1" t="s">
        <v>57</v>
      </c>
      <c r="H374">
        <v>19</v>
      </c>
      <c r="I374" t="s">
        <v>41</v>
      </c>
      <c r="J374">
        <v>2.2000000000000002</v>
      </c>
      <c r="K374">
        <v>1</v>
      </c>
      <c r="L374">
        <v>0.78</v>
      </c>
      <c r="M374" s="1" t="s">
        <v>51</v>
      </c>
      <c r="N374" s="1" t="s">
        <v>65</v>
      </c>
      <c r="O374">
        <v>10</v>
      </c>
      <c r="P374">
        <v>14</v>
      </c>
      <c r="Q374" t="str">
        <f t="shared" si="26"/>
        <v>GREGORY GARRISON</v>
      </c>
      <c r="R374" t="str">
        <f t="shared" si="27"/>
        <v>india</v>
      </c>
      <c r="S374" t="str">
        <f>PROPER(global_freelancer_raw[[#This Row],[NAME UPPER]])</f>
        <v>Gregory Garrison</v>
      </c>
      <c r="T374" t="str">
        <f t="shared" si="28"/>
        <v>In</v>
      </c>
      <c r="U374" t="str">
        <f t="shared" si="25"/>
        <v>ory Ga</v>
      </c>
      <c r="V374" t="str">
        <f t="shared" si="29"/>
        <v>73</v>
      </c>
    </row>
    <row r="375" spans="1:22" x14ac:dyDescent="0.3">
      <c r="A375" s="1" t="s">
        <v>839</v>
      </c>
      <c r="B375" s="1" t="s">
        <v>840</v>
      </c>
      <c r="C375" s="1" t="s">
        <v>44</v>
      </c>
      <c r="D375">
        <v>39</v>
      </c>
      <c r="E375" s="1" t="s">
        <v>47</v>
      </c>
      <c r="F375" s="1" t="s">
        <v>48</v>
      </c>
      <c r="G375" s="1" t="s">
        <v>57</v>
      </c>
      <c r="H375">
        <v>13</v>
      </c>
      <c r="I375">
        <v>30</v>
      </c>
      <c r="J375">
        <v>1.1000000000000001</v>
      </c>
      <c r="K375">
        <v>1</v>
      </c>
      <c r="M375" s="1" t="s">
        <v>51</v>
      </c>
      <c r="N375" s="1" t="s">
        <v>21</v>
      </c>
      <c r="O375">
        <v>8</v>
      </c>
      <c r="P375">
        <v>4</v>
      </c>
      <c r="Q375" t="str">
        <f t="shared" si="26"/>
        <v>CHELSEA ANDERSON</v>
      </c>
      <c r="R375" t="str">
        <f t="shared" si="27"/>
        <v>netherlands</v>
      </c>
      <c r="S375" t="str">
        <f>PROPER(global_freelancer_raw[[#This Row],[NAME UPPER]])</f>
        <v>Chelsea Anderson</v>
      </c>
      <c r="T375" t="str">
        <f t="shared" si="28"/>
        <v>Ne</v>
      </c>
      <c r="U375" t="str">
        <f t="shared" si="25"/>
        <v>sea An</v>
      </c>
      <c r="V375" t="str">
        <f t="shared" si="29"/>
        <v>74</v>
      </c>
    </row>
    <row r="376" spans="1:22" x14ac:dyDescent="0.3">
      <c r="A376" s="1" t="s">
        <v>841</v>
      </c>
      <c r="B376" s="1" t="s">
        <v>842</v>
      </c>
      <c r="C376" s="1" t="s">
        <v>68</v>
      </c>
      <c r="E376" s="1" t="s">
        <v>80</v>
      </c>
      <c r="F376" s="1" t="s">
        <v>81</v>
      </c>
      <c r="G376" s="1" t="s">
        <v>19</v>
      </c>
      <c r="I376" t="s">
        <v>71</v>
      </c>
      <c r="J376">
        <v>2.1</v>
      </c>
      <c r="K376">
        <v>1</v>
      </c>
      <c r="L376">
        <v>0.82</v>
      </c>
      <c r="M376" s="1" t="s">
        <v>51</v>
      </c>
      <c r="N376" s="1" t="s">
        <v>36</v>
      </c>
      <c r="O376">
        <v>1</v>
      </c>
      <c r="P376">
        <v>1</v>
      </c>
      <c r="Q376" t="str">
        <f t="shared" si="26"/>
        <v>GERALD JOHNSON</v>
      </c>
      <c r="R376" t="str">
        <f t="shared" si="27"/>
        <v>argentina</v>
      </c>
      <c r="S376" t="str">
        <f>PROPER(global_freelancer_raw[[#This Row],[NAME UPPER]])</f>
        <v>Gerald Johnson</v>
      </c>
      <c r="T376" t="str">
        <f t="shared" si="28"/>
        <v>Ar</v>
      </c>
      <c r="U376" t="str">
        <f t="shared" si="25"/>
        <v>ld Joh</v>
      </c>
      <c r="V376" t="str">
        <f t="shared" si="29"/>
        <v>75</v>
      </c>
    </row>
    <row r="377" spans="1:22" x14ac:dyDescent="0.3">
      <c r="A377" s="1" t="s">
        <v>843</v>
      </c>
      <c r="B377" s="1" t="s">
        <v>844</v>
      </c>
      <c r="C377" s="1" t="s">
        <v>32</v>
      </c>
      <c r="D377">
        <v>24</v>
      </c>
      <c r="E377" s="1" t="s">
        <v>33</v>
      </c>
      <c r="F377" s="1" t="s">
        <v>33</v>
      </c>
      <c r="G377" s="1" t="s">
        <v>87</v>
      </c>
      <c r="H377">
        <v>3</v>
      </c>
      <c r="I377" t="s">
        <v>50</v>
      </c>
      <c r="J377">
        <v>2.2999999999999998</v>
      </c>
      <c r="K377" t="b">
        <v>0</v>
      </c>
      <c r="L377">
        <v>0.66</v>
      </c>
      <c r="M377" s="1" t="s">
        <v>20</v>
      </c>
      <c r="N377" s="1" t="s">
        <v>36</v>
      </c>
      <c r="O377">
        <v>4</v>
      </c>
      <c r="P377">
        <v>5</v>
      </c>
      <c r="Q377" t="str">
        <f t="shared" si="26"/>
        <v>KEVIN ELLIS</v>
      </c>
      <c r="R377" t="str">
        <f t="shared" si="27"/>
        <v>germany</v>
      </c>
      <c r="S377" t="str">
        <f>PROPER(global_freelancer_raw[[#This Row],[NAME UPPER]])</f>
        <v>Kevin Ellis</v>
      </c>
      <c r="T377" t="str">
        <f t="shared" si="28"/>
        <v>Ge</v>
      </c>
      <c r="U377" t="str">
        <f t="shared" si="25"/>
        <v>n Elli</v>
      </c>
      <c r="V377" t="str">
        <f t="shared" si="29"/>
        <v>76</v>
      </c>
    </row>
    <row r="378" spans="1:22" x14ac:dyDescent="0.3">
      <c r="A378" s="1" t="s">
        <v>845</v>
      </c>
      <c r="B378" s="1" t="s">
        <v>846</v>
      </c>
      <c r="C378" s="1" t="s">
        <v>106</v>
      </c>
      <c r="D378">
        <v>50</v>
      </c>
      <c r="E378" s="1" t="s">
        <v>25</v>
      </c>
      <c r="F378" s="1" t="s">
        <v>26</v>
      </c>
      <c r="G378" s="1" t="s">
        <v>34</v>
      </c>
      <c r="H378">
        <v>26</v>
      </c>
      <c r="J378">
        <v>3.6</v>
      </c>
      <c r="K378">
        <v>1</v>
      </c>
      <c r="L378">
        <v>82</v>
      </c>
      <c r="M378" s="1" t="s">
        <v>51</v>
      </c>
      <c r="N378" s="1" t="s">
        <v>21</v>
      </c>
      <c r="O378">
        <v>11</v>
      </c>
      <c r="P378">
        <v>9</v>
      </c>
      <c r="Q378" t="str">
        <f t="shared" si="26"/>
        <v>MITCHELL KELLER</v>
      </c>
      <c r="R378" t="str">
        <f t="shared" si="27"/>
        <v>australia</v>
      </c>
      <c r="S378" t="str">
        <f>PROPER(global_freelancer_raw[[#This Row],[NAME UPPER]])</f>
        <v>Mitchell Keller</v>
      </c>
      <c r="T378" t="str">
        <f t="shared" si="28"/>
        <v>Au</v>
      </c>
      <c r="U378" t="str">
        <f t="shared" si="25"/>
        <v>hell K</v>
      </c>
      <c r="V378" t="str">
        <f t="shared" si="29"/>
        <v>77</v>
      </c>
    </row>
    <row r="379" spans="1:22" x14ac:dyDescent="0.3">
      <c r="A379" s="1" t="s">
        <v>847</v>
      </c>
      <c r="B379" s="1" t="s">
        <v>848</v>
      </c>
      <c r="C379" s="1" t="s">
        <v>44</v>
      </c>
      <c r="D379">
        <v>23</v>
      </c>
      <c r="E379" s="1" t="s">
        <v>33</v>
      </c>
      <c r="F379" s="1" t="s">
        <v>33</v>
      </c>
      <c r="G379" s="1" t="s">
        <v>123</v>
      </c>
      <c r="H379">
        <v>4</v>
      </c>
      <c r="I379" t="s">
        <v>323</v>
      </c>
      <c r="J379">
        <v>4.7</v>
      </c>
      <c r="K379" t="b">
        <v>1</v>
      </c>
      <c r="L379">
        <v>0.84</v>
      </c>
      <c r="M379" s="1" t="s">
        <v>51</v>
      </c>
      <c r="N379" s="1" t="s">
        <v>36</v>
      </c>
      <c r="O379">
        <v>4</v>
      </c>
      <c r="P379">
        <v>4</v>
      </c>
      <c r="Q379" t="str">
        <f t="shared" si="26"/>
        <v>MARY BROWN</v>
      </c>
      <c r="R379" t="str">
        <f t="shared" si="27"/>
        <v>germany</v>
      </c>
      <c r="S379" t="str">
        <f>PROPER(global_freelancer_raw[[#This Row],[NAME UPPER]])</f>
        <v>Mary Brown</v>
      </c>
      <c r="T379" t="str">
        <f t="shared" si="28"/>
        <v>Ge</v>
      </c>
      <c r="U379" t="str">
        <f t="shared" si="25"/>
        <v xml:space="preserve"> Brown</v>
      </c>
      <c r="V379" t="str">
        <f t="shared" si="29"/>
        <v>78</v>
      </c>
    </row>
    <row r="380" spans="1:22" x14ac:dyDescent="0.3">
      <c r="A380" s="1" t="s">
        <v>849</v>
      </c>
      <c r="B380" s="1" t="s">
        <v>850</v>
      </c>
      <c r="C380" s="1" t="s">
        <v>68</v>
      </c>
      <c r="D380">
        <v>27</v>
      </c>
      <c r="E380" s="1" t="s">
        <v>137</v>
      </c>
      <c r="F380" s="1" t="s">
        <v>26</v>
      </c>
      <c r="G380" s="1" t="s">
        <v>87</v>
      </c>
      <c r="H380">
        <v>8</v>
      </c>
      <c r="I380">
        <v>20</v>
      </c>
      <c r="J380">
        <v>4.8</v>
      </c>
      <c r="K380" t="s">
        <v>35</v>
      </c>
      <c r="L380">
        <v>0.81</v>
      </c>
      <c r="M380" s="1" t="s">
        <v>51</v>
      </c>
      <c r="N380" s="1" t="s">
        <v>29</v>
      </c>
      <c r="O380">
        <v>6</v>
      </c>
      <c r="P380">
        <v>8</v>
      </c>
      <c r="Q380" t="str">
        <f t="shared" si="26"/>
        <v>RONALD WALLS</v>
      </c>
      <c r="R380" t="str">
        <f t="shared" si="27"/>
        <v>canada</v>
      </c>
      <c r="S380" t="str">
        <f>PROPER(global_freelancer_raw[[#This Row],[NAME UPPER]])</f>
        <v>Ronald Walls</v>
      </c>
      <c r="T380" t="str">
        <f t="shared" si="28"/>
        <v>Ca</v>
      </c>
      <c r="U380" t="str">
        <f t="shared" si="25"/>
        <v>ld Wal</v>
      </c>
      <c r="V380" t="str">
        <f t="shared" si="29"/>
        <v>79</v>
      </c>
    </row>
    <row r="381" spans="1:22" x14ac:dyDescent="0.3">
      <c r="A381" s="1" t="s">
        <v>851</v>
      </c>
      <c r="B381" s="1" t="s">
        <v>852</v>
      </c>
      <c r="C381" s="1" t="s">
        <v>106</v>
      </c>
      <c r="D381">
        <v>58</v>
      </c>
      <c r="E381" s="1" t="s">
        <v>162</v>
      </c>
      <c r="F381" s="1" t="s">
        <v>163</v>
      </c>
      <c r="G381" s="1" t="s">
        <v>49</v>
      </c>
      <c r="H381">
        <v>10</v>
      </c>
      <c r="I381">
        <v>75</v>
      </c>
      <c r="J381">
        <v>4.2</v>
      </c>
      <c r="K381" t="s">
        <v>35</v>
      </c>
      <c r="L381">
        <v>71</v>
      </c>
      <c r="M381" s="1" t="s">
        <v>51</v>
      </c>
      <c r="N381" s="1" t="s">
        <v>65</v>
      </c>
      <c r="O381">
        <v>7</v>
      </c>
      <c r="P381">
        <v>5</v>
      </c>
      <c r="Q381" t="str">
        <f t="shared" si="26"/>
        <v>ANTHONY AVILA</v>
      </c>
      <c r="R381" t="str">
        <f t="shared" si="27"/>
        <v>south africa</v>
      </c>
      <c r="S381" t="str">
        <f>PROPER(global_freelancer_raw[[#This Row],[NAME UPPER]])</f>
        <v>Anthony Avila</v>
      </c>
      <c r="T381" t="str">
        <f t="shared" si="28"/>
        <v>So</v>
      </c>
      <c r="U381" t="str">
        <f t="shared" si="25"/>
        <v>ony Av</v>
      </c>
      <c r="V381" t="str">
        <f t="shared" si="29"/>
        <v>80</v>
      </c>
    </row>
    <row r="382" spans="1:22" x14ac:dyDescent="0.3">
      <c r="A382" s="1" t="s">
        <v>853</v>
      </c>
      <c r="B382" s="1" t="s">
        <v>854</v>
      </c>
      <c r="C382" s="1" t="s">
        <v>54</v>
      </c>
      <c r="D382">
        <v>37</v>
      </c>
      <c r="E382" s="1" t="s">
        <v>17</v>
      </c>
      <c r="F382" s="1" t="s">
        <v>18</v>
      </c>
      <c r="G382" s="1" t="s">
        <v>123</v>
      </c>
      <c r="H382">
        <v>5</v>
      </c>
      <c r="J382">
        <v>4.8</v>
      </c>
      <c r="K382">
        <v>1</v>
      </c>
      <c r="L382">
        <v>0.61</v>
      </c>
      <c r="M382" s="1" t="s">
        <v>72</v>
      </c>
      <c r="N382" s="1" t="s">
        <v>21</v>
      </c>
      <c r="O382">
        <v>2</v>
      </c>
      <c r="P382">
        <v>1</v>
      </c>
      <c r="Q382" t="str">
        <f t="shared" si="26"/>
        <v>DOUGLAS GOODWIN</v>
      </c>
      <c r="R382" t="str">
        <f t="shared" si="27"/>
        <v>italy</v>
      </c>
      <c r="S382" t="str">
        <f>PROPER(global_freelancer_raw[[#This Row],[NAME UPPER]])</f>
        <v>Douglas Goodwin</v>
      </c>
      <c r="T382" t="str">
        <f t="shared" si="28"/>
        <v>It</v>
      </c>
      <c r="U382" t="str">
        <f t="shared" si="25"/>
        <v>las Go</v>
      </c>
      <c r="V382" t="str">
        <f t="shared" si="29"/>
        <v>81</v>
      </c>
    </row>
    <row r="383" spans="1:22" x14ac:dyDescent="0.3">
      <c r="A383" s="1" t="s">
        <v>855</v>
      </c>
      <c r="B383" s="1" t="s">
        <v>856</v>
      </c>
      <c r="C383" s="1" t="s">
        <v>68</v>
      </c>
      <c r="D383">
        <v>39</v>
      </c>
      <c r="E383" s="1" t="s">
        <v>199</v>
      </c>
      <c r="F383" s="1" t="s">
        <v>81</v>
      </c>
      <c r="G383" s="1" t="s">
        <v>19</v>
      </c>
      <c r="H383">
        <v>18</v>
      </c>
      <c r="I383">
        <v>75</v>
      </c>
      <c r="J383">
        <v>4</v>
      </c>
      <c r="K383">
        <v>1</v>
      </c>
      <c r="L383">
        <v>0.66</v>
      </c>
      <c r="M383" s="1" t="s">
        <v>20</v>
      </c>
      <c r="N383" s="1" t="s">
        <v>21</v>
      </c>
      <c r="O383">
        <v>10</v>
      </c>
      <c r="P383">
        <v>8</v>
      </c>
      <c r="Q383" t="str">
        <f t="shared" si="26"/>
        <v>JAMES MILLS</v>
      </c>
      <c r="R383" t="str">
        <f t="shared" si="27"/>
        <v>spain</v>
      </c>
      <c r="S383" t="str">
        <f>PROPER(global_freelancer_raw[[#This Row],[NAME UPPER]])</f>
        <v>James Mills</v>
      </c>
      <c r="T383" t="str">
        <f t="shared" si="28"/>
        <v>Sp</v>
      </c>
      <c r="U383" t="str">
        <f t="shared" si="25"/>
        <v>s Mill</v>
      </c>
      <c r="V383" t="str">
        <f t="shared" si="29"/>
        <v>82</v>
      </c>
    </row>
    <row r="384" spans="1:22" x14ac:dyDescent="0.3">
      <c r="A384" s="1" t="s">
        <v>857</v>
      </c>
      <c r="B384" s="1" t="s">
        <v>858</v>
      </c>
      <c r="C384" s="1" t="s">
        <v>24</v>
      </c>
      <c r="D384">
        <v>46</v>
      </c>
      <c r="E384" s="1" t="s">
        <v>148</v>
      </c>
      <c r="F384" s="1" t="s">
        <v>149</v>
      </c>
      <c r="G384" s="1" t="s">
        <v>57</v>
      </c>
      <c r="H384">
        <v>10</v>
      </c>
      <c r="I384" t="s">
        <v>130</v>
      </c>
      <c r="J384">
        <v>2.5</v>
      </c>
      <c r="K384" t="b">
        <v>1</v>
      </c>
      <c r="L384">
        <v>0.97</v>
      </c>
      <c r="M384" s="1" t="s">
        <v>77</v>
      </c>
      <c r="N384" s="1" t="s">
        <v>36</v>
      </c>
      <c r="O384">
        <v>13</v>
      </c>
      <c r="P384">
        <v>2</v>
      </c>
      <c r="Q384" t="str">
        <f t="shared" si="26"/>
        <v>NICOLE MARKS</v>
      </c>
      <c r="R384" t="str">
        <f t="shared" si="27"/>
        <v>egypt</v>
      </c>
      <c r="S384" t="str">
        <f>PROPER(global_freelancer_raw[[#This Row],[NAME UPPER]])</f>
        <v>Nicole Marks</v>
      </c>
      <c r="T384" t="str">
        <f t="shared" si="28"/>
        <v>Eg</v>
      </c>
      <c r="U384" t="str">
        <f t="shared" si="25"/>
        <v>le Mar</v>
      </c>
      <c r="V384" t="str">
        <f t="shared" si="29"/>
        <v>83</v>
      </c>
    </row>
    <row r="385" spans="1:22" x14ac:dyDescent="0.3">
      <c r="A385" s="1" t="s">
        <v>859</v>
      </c>
      <c r="B385" s="1" t="s">
        <v>860</v>
      </c>
      <c r="C385" s="1" t="s">
        <v>86</v>
      </c>
      <c r="E385" s="1" t="s">
        <v>75</v>
      </c>
      <c r="F385" s="1" t="s">
        <v>26</v>
      </c>
      <c r="G385" s="1" t="s">
        <v>82</v>
      </c>
      <c r="H385">
        <v>0</v>
      </c>
      <c r="I385" t="s">
        <v>323</v>
      </c>
      <c r="J385">
        <v>4.8</v>
      </c>
      <c r="K385">
        <v>0</v>
      </c>
      <c r="L385">
        <v>0.74</v>
      </c>
      <c r="M385" s="1" t="s">
        <v>51</v>
      </c>
      <c r="N385" s="1" t="s">
        <v>21</v>
      </c>
      <c r="O385">
        <v>2</v>
      </c>
      <c r="P385">
        <v>1</v>
      </c>
      <c r="Q385" t="str">
        <f t="shared" si="26"/>
        <v>PHYLLIS DAWSON</v>
      </c>
      <c r="R385" t="str">
        <f t="shared" si="27"/>
        <v>uk</v>
      </c>
      <c r="S385" t="str">
        <f>PROPER(global_freelancer_raw[[#This Row],[NAME UPPER]])</f>
        <v>Phyllis Dawson</v>
      </c>
      <c r="T385" t="str">
        <f t="shared" si="28"/>
        <v>UK</v>
      </c>
      <c r="U385" t="str">
        <f t="shared" si="25"/>
        <v>lis Da</v>
      </c>
      <c r="V385" t="str">
        <f t="shared" si="29"/>
        <v>84</v>
      </c>
    </row>
    <row r="386" spans="1:22" x14ac:dyDescent="0.3">
      <c r="A386" s="1" t="s">
        <v>861</v>
      </c>
      <c r="B386" s="1" t="s">
        <v>862</v>
      </c>
      <c r="C386" s="1" t="s">
        <v>16</v>
      </c>
      <c r="D386">
        <v>39</v>
      </c>
      <c r="E386" s="1" t="s">
        <v>188</v>
      </c>
      <c r="F386" s="1" t="s">
        <v>81</v>
      </c>
      <c r="G386" s="1" t="s">
        <v>19</v>
      </c>
      <c r="H386">
        <v>21</v>
      </c>
      <c r="I386">
        <v>30</v>
      </c>
      <c r="J386">
        <v>4.7</v>
      </c>
      <c r="K386" t="b">
        <v>0</v>
      </c>
      <c r="L386">
        <v>0.61</v>
      </c>
      <c r="M386" s="1" t="s">
        <v>72</v>
      </c>
      <c r="N386" s="1" t="s">
        <v>29</v>
      </c>
      <c r="O386">
        <v>15</v>
      </c>
      <c r="P386">
        <v>6</v>
      </c>
      <c r="Q386" t="str">
        <f t="shared" si="26"/>
        <v>RENEE ARNOLD</v>
      </c>
      <c r="R386" t="str">
        <f t="shared" si="27"/>
        <v>mexico</v>
      </c>
      <c r="S386" t="str">
        <f>PROPER(global_freelancer_raw[[#This Row],[NAME UPPER]])</f>
        <v>Renee Arnold</v>
      </c>
      <c r="T386" t="str">
        <f t="shared" si="28"/>
        <v>Me</v>
      </c>
      <c r="U386" t="str">
        <f t="shared" ref="U386:U449" si="30">MID(B386,5,6)</f>
        <v>e Arno</v>
      </c>
      <c r="V386" t="str">
        <f t="shared" si="29"/>
        <v>85</v>
      </c>
    </row>
    <row r="387" spans="1:22" x14ac:dyDescent="0.3">
      <c r="A387" s="1" t="s">
        <v>863</v>
      </c>
      <c r="B387" s="1" t="s">
        <v>864</v>
      </c>
      <c r="C387" s="1" t="s">
        <v>101</v>
      </c>
      <c r="D387">
        <v>59</v>
      </c>
      <c r="E387" s="1" t="s">
        <v>148</v>
      </c>
      <c r="F387" s="1" t="s">
        <v>149</v>
      </c>
      <c r="G387" s="1" t="s">
        <v>19</v>
      </c>
      <c r="H387">
        <v>25</v>
      </c>
      <c r="I387">
        <v>20</v>
      </c>
      <c r="J387">
        <v>4</v>
      </c>
      <c r="K387">
        <v>0</v>
      </c>
      <c r="L387">
        <v>0.9</v>
      </c>
      <c r="M387" s="1" t="s">
        <v>72</v>
      </c>
      <c r="N387" s="1" t="s">
        <v>36</v>
      </c>
      <c r="O387">
        <v>15</v>
      </c>
      <c r="P387">
        <v>9</v>
      </c>
      <c r="Q387" t="str">
        <f t="shared" ref="Q387:Q450" si="31">UPPER(B387)</f>
        <v>ERIC ROBINSON</v>
      </c>
      <c r="R387" t="str">
        <f t="shared" ref="R387:R450" si="32">LOWER(E387)</f>
        <v>egypt</v>
      </c>
      <c r="S387" t="str">
        <f>PROPER(global_freelancer_raw[[#This Row],[NAME UPPER]])</f>
        <v>Eric Robinson</v>
      </c>
      <c r="T387" t="str">
        <f t="shared" ref="T387:T450" si="33">LEFT(E387,"2")</f>
        <v>Eg</v>
      </c>
      <c r="U387" t="str">
        <f t="shared" si="30"/>
        <v xml:space="preserve"> Robin</v>
      </c>
      <c r="V387" t="str">
        <f t="shared" ref="V387:V450" si="34">RIGHT(A387,"2")</f>
        <v>86</v>
      </c>
    </row>
    <row r="388" spans="1:22" x14ac:dyDescent="0.3">
      <c r="A388" s="1" t="s">
        <v>865</v>
      </c>
      <c r="B388" s="1" t="s">
        <v>866</v>
      </c>
      <c r="C388" s="1" t="s">
        <v>54</v>
      </c>
      <c r="D388">
        <v>21</v>
      </c>
      <c r="E388" s="1" t="s">
        <v>47</v>
      </c>
      <c r="F388" s="1" t="s">
        <v>48</v>
      </c>
      <c r="G388" s="1" t="s">
        <v>98</v>
      </c>
      <c r="H388">
        <v>0</v>
      </c>
      <c r="I388" t="s">
        <v>41</v>
      </c>
      <c r="J388">
        <v>4.0999999999999996</v>
      </c>
      <c r="K388" t="s">
        <v>83</v>
      </c>
      <c r="L388">
        <v>0.97</v>
      </c>
      <c r="M388" s="1" t="s">
        <v>72</v>
      </c>
      <c r="N388" s="1" t="s">
        <v>36</v>
      </c>
      <c r="O388">
        <v>4</v>
      </c>
      <c r="P388">
        <v>1</v>
      </c>
      <c r="Q388" t="str">
        <f t="shared" si="31"/>
        <v>PAUL BROWN</v>
      </c>
      <c r="R388" t="str">
        <f t="shared" si="32"/>
        <v>netherlands</v>
      </c>
      <c r="S388" t="str">
        <f>PROPER(global_freelancer_raw[[#This Row],[NAME UPPER]])</f>
        <v>Paul Brown</v>
      </c>
      <c r="T388" t="str">
        <f t="shared" si="33"/>
        <v>Ne</v>
      </c>
      <c r="U388" t="str">
        <f t="shared" si="30"/>
        <v xml:space="preserve"> Brown</v>
      </c>
      <c r="V388" t="str">
        <f t="shared" si="34"/>
        <v>87</v>
      </c>
    </row>
    <row r="389" spans="1:22" x14ac:dyDescent="0.3">
      <c r="A389" s="1" t="s">
        <v>867</v>
      </c>
      <c r="B389" s="1" t="s">
        <v>868</v>
      </c>
      <c r="C389" s="1" t="s">
        <v>24</v>
      </c>
      <c r="D389">
        <v>23</v>
      </c>
      <c r="E389" s="1" t="s">
        <v>137</v>
      </c>
      <c r="F389" s="1" t="s">
        <v>26</v>
      </c>
      <c r="G389" s="1" t="s">
        <v>98</v>
      </c>
      <c r="H389">
        <v>5</v>
      </c>
      <c r="I389">
        <v>100</v>
      </c>
      <c r="J389">
        <v>3.2</v>
      </c>
      <c r="K389">
        <v>1</v>
      </c>
      <c r="M389" s="1" t="s">
        <v>77</v>
      </c>
      <c r="N389" s="1" t="s">
        <v>36</v>
      </c>
      <c r="O389">
        <v>5</v>
      </c>
      <c r="P389">
        <v>5</v>
      </c>
      <c r="Q389" t="str">
        <f t="shared" si="31"/>
        <v>SARAH PROCTOR</v>
      </c>
      <c r="R389" t="str">
        <f t="shared" si="32"/>
        <v>canada</v>
      </c>
      <c r="S389" t="str">
        <f>PROPER(global_freelancer_raw[[#This Row],[NAME UPPER]])</f>
        <v>Sarah Proctor</v>
      </c>
      <c r="T389" t="str">
        <f t="shared" si="33"/>
        <v>Ca</v>
      </c>
      <c r="U389" t="str">
        <f t="shared" si="30"/>
        <v>h Proc</v>
      </c>
      <c r="V389" t="str">
        <f t="shared" si="34"/>
        <v>88</v>
      </c>
    </row>
    <row r="390" spans="1:22" x14ac:dyDescent="0.3">
      <c r="A390" s="1" t="s">
        <v>869</v>
      </c>
      <c r="B390" s="1" t="s">
        <v>870</v>
      </c>
      <c r="C390" s="1" t="s">
        <v>54</v>
      </c>
      <c r="D390">
        <v>27</v>
      </c>
      <c r="E390" s="1" t="s">
        <v>148</v>
      </c>
      <c r="F390" s="1" t="s">
        <v>149</v>
      </c>
      <c r="G390" s="1" t="s">
        <v>40</v>
      </c>
      <c r="H390">
        <v>1</v>
      </c>
      <c r="I390">
        <v>20</v>
      </c>
      <c r="J390">
        <v>4.3</v>
      </c>
      <c r="K390" t="s">
        <v>35</v>
      </c>
      <c r="L390">
        <v>0.76</v>
      </c>
      <c r="M390" s="1" t="s">
        <v>51</v>
      </c>
      <c r="N390" s="1" t="s">
        <v>36</v>
      </c>
      <c r="O390">
        <v>4</v>
      </c>
      <c r="P390">
        <v>3</v>
      </c>
      <c r="Q390" t="str">
        <f t="shared" si="31"/>
        <v>MATTHEW HICKS</v>
      </c>
      <c r="R390" t="str">
        <f t="shared" si="32"/>
        <v>egypt</v>
      </c>
      <c r="S390" t="str">
        <f>PROPER(global_freelancer_raw[[#This Row],[NAME UPPER]])</f>
        <v>Matthew Hicks</v>
      </c>
      <c r="T390" t="str">
        <f t="shared" si="33"/>
        <v>Eg</v>
      </c>
      <c r="U390" t="str">
        <f t="shared" si="30"/>
        <v>hew Hi</v>
      </c>
      <c r="V390" t="str">
        <f t="shared" si="34"/>
        <v>89</v>
      </c>
    </row>
    <row r="391" spans="1:22" x14ac:dyDescent="0.3">
      <c r="A391" s="1" t="s">
        <v>871</v>
      </c>
      <c r="B391" s="1" t="s">
        <v>872</v>
      </c>
      <c r="C391" s="1" t="s">
        <v>54</v>
      </c>
      <c r="D391">
        <v>27</v>
      </c>
      <c r="E391" s="1" t="s">
        <v>184</v>
      </c>
      <c r="F391" s="1" t="s">
        <v>185</v>
      </c>
      <c r="G391" s="1" t="s">
        <v>87</v>
      </c>
      <c r="H391">
        <v>4</v>
      </c>
      <c r="I391">
        <v>40</v>
      </c>
      <c r="J391">
        <v>4.4000000000000004</v>
      </c>
      <c r="K391">
        <v>0</v>
      </c>
      <c r="L391">
        <v>0.92</v>
      </c>
      <c r="M391" s="1" t="s">
        <v>20</v>
      </c>
      <c r="N391" s="1" t="s">
        <v>29</v>
      </c>
      <c r="O391">
        <v>4</v>
      </c>
      <c r="P391">
        <v>4</v>
      </c>
      <c r="Q391" t="str">
        <f t="shared" si="31"/>
        <v>CHRISTOPHER BLACK</v>
      </c>
      <c r="R391" t="str">
        <f t="shared" si="32"/>
        <v>china</v>
      </c>
      <c r="S391" t="str">
        <f>PROPER(global_freelancer_raw[[#This Row],[NAME UPPER]])</f>
        <v>Christopher Black</v>
      </c>
      <c r="T391" t="str">
        <f t="shared" si="33"/>
        <v>Ch</v>
      </c>
      <c r="U391" t="str">
        <f t="shared" si="30"/>
        <v>stophe</v>
      </c>
      <c r="V391" t="str">
        <f t="shared" si="34"/>
        <v>90</v>
      </c>
    </row>
    <row r="392" spans="1:22" x14ac:dyDescent="0.3">
      <c r="A392" s="1" t="s">
        <v>873</v>
      </c>
      <c r="B392" s="1" t="s">
        <v>874</v>
      </c>
      <c r="C392" s="1" t="s">
        <v>39</v>
      </c>
      <c r="D392">
        <v>48</v>
      </c>
      <c r="E392" s="1" t="s">
        <v>162</v>
      </c>
      <c r="F392" s="1" t="s">
        <v>163</v>
      </c>
      <c r="G392" s="1" t="s">
        <v>57</v>
      </c>
      <c r="H392">
        <v>21</v>
      </c>
      <c r="I392">
        <v>40</v>
      </c>
      <c r="J392">
        <v>2.2999999999999998</v>
      </c>
      <c r="K392">
        <v>0</v>
      </c>
      <c r="M392" s="1" t="s">
        <v>20</v>
      </c>
      <c r="N392" s="1" t="s">
        <v>36</v>
      </c>
      <c r="O392">
        <v>14</v>
      </c>
      <c r="P392">
        <v>10</v>
      </c>
      <c r="Q392" t="str">
        <f t="shared" si="31"/>
        <v>JOANNE REYES</v>
      </c>
      <c r="R392" t="str">
        <f t="shared" si="32"/>
        <v>south africa</v>
      </c>
      <c r="S392" t="str">
        <f>PROPER(global_freelancer_raw[[#This Row],[NAME UPPER]])</f>
        <v>Joanne Reyes</v>
      </c>
      <c r="T392" t="str">
        <f t="shared" si="33"/>
        <v>So</v>
      </c>
      <c r="U392" t="str">
        <f t="shared" si="30"/>
        <v>ne Rey</v>
      </c>
      <c r="V392" t="str">
        <f t="shared" si="34"/>
        <v>91</v>
      </c>
    </row>
    <row r="393" spans="1:22" x14ac:dyDescent="0.3">
      <c r="A393" s="1" t="s">
        <v>875</v>
      </c>
      <c r="B393" s="1" t="s">
        <v>876</v>
      </c>
      <c r="C393" s="1" t="s">
        <v>68</v>
      </c>
      <c r="D393">
        <v>21</v>
      </c>
      <c r="E393" s="1" t="s">
        <v>162</v>
      </c>
      <c r="F393" s="1" t="s">
        <v>163</v>
      </c>
      <c r="G393" s="1" t="s">
        <v>49</v>
      </c>
      <c r="H393">
        <v>1</v>
      </c>
      <c r="I393" t="s">
        <v>130</v>
      </c>
      <c r="J393">
        <v>2.4</v>
      </c>
      <c r="K393">
        <v>1</v>
      </c>
      <c r="L393">
        <v>0.66</v>
      </c>
      <c r="M393" s="1" t="s">
        <v>72</v>
      </c>
      <c r="N393" s="1" t="s">
        <v>21</v>
      </c>
      <c r="O393">
        <v>4</v>
      </c>
      <c r="P393">
        <v>4</v>
      </c>
      <c r="Q393" t="str">
        <f t="shared" si="31"/>
        <v>ISAAC GRAY</v>
      </c>
      <c r="R393" t="str">
        <f t="shared" si="32"/>
        <v>south africa</v>
      </c>
      <c r="S393" t="str">
        <f>PROPER(global_freelancer_raw[[#This Row],[NAME UPPER]])</f>
        <v>Isaac Gray</v>
      </c>
      <c r="T393" t="str">
        <f t="shared" si="33"/>
        <v>So</v>
      </c>
      <c r="U393" t="str">
        <f t="shared" si="30"/>
        <v>c Gray</v>
      </c>
      <c r="V393" t="str">
        <f t="shared" si="34"/>
        <v>92</v>
      </c>
    </row>
    <row r="394" spans="1:22" x14ac:dyDescent="0.3">
      <c r="A394" s="1" t="s">
        <v>877</v>
      </c>
      <c r="B394" s="1" t="s">
        <v>878</v>
      </c>
      <c r="C394" s="1" t="s">
        <v>54</v>
      </c>
      <c r="D394">
        <v>37</v>
      </c>
      <c r="E394" s="1" t="s">
        <v>17</v>
      </c>
      <c r="F394" s="1" t="s">
        <v>18</v>
      </c>
      <c r="G394" s="1" t="s">
        <v>98</v>
      </c>
      <c r="I394">
        <v>50</v>
      </c>
      <c r="J394">
        <v>4.5999999999999996</v>
      </c>
      <c r="K394">
        <v>0</v>
      </c>
      <c r="L394">
        <v>0.83</v>
      </c>
      <c r="M394" s="1" t="s">
        <v>77</v>
      </c>
      <c r="N394" s="1" t="s">
        <v>29</v>
      </c>
      <c r="O394">
        <v>1</v>
      </c>
      <c r="P394">
        <v>1</v>
      </c>
      <c r="Q394" t="str">
        <f t="shared" si="31"/>
        <v>JOSHUA ROBERTS</v>
      </c>
      <c r="R394" t="str">
        <f t="shared" si="32"/>
        <v>italy</v>
      </c>
      <c r="S394" t="str">
        <f>PROPER(global_freelancer_raw[[#This Row],[NAME UPPER]])</f>
        <v>Joshua Roberts</v>
      </c>
      <c r="T394" t="str">
        <f t="shared" si="33"/>
        <v>It</v>
      </c>
      <c r="U394" t="str">
        <f t="shared" si="30"/>
        <v>ua Rob</v>
      </c>
      <c r="V394" t="str">
        <f t="shared" si="34"/>
        <v>93</v>
      </c>
    </row>
    <row r="395" spans="1:22" x14ac:dyDescent="0.3">
      <c r="A395" s="1" t="s">
        <v>879</v>
      </c>
      <c r="B395" s="1" t="s">
        <v>880</v>
      </c>
      <c r="C395" s="1" t="s">
        <v>39</v>
      </c>
      <c r="D395">
        <v>31</v>
      </c>
      <c r="E395" s="1" t="s">
        <v>33</v>
      </c>
      <c r="F395" s="1" t="s">
        <v>33</v>
      </c>
      <c r="G395" s="1" t="s">
        <v>82</v>
      </c>
      <c r="H395">
        <v>10</v>
      </c>
      <c r="I395">
        <v>50</v>
      </c>
      <c r="J395">
        <v>0</v>
      </c>
      <c r="K395" t="s">
        <v>168</v>
      </c>
      <c r="M395" s="1" t="s">
        <v>77</v>
      </c>
      <c r="N395" s="1" t="s">
        <v>65</v>
      </c>
      <c r="O395">
        <v>10</v>
      </c>
      <c r="P395">
        <v>4</v>
      </c>
      <c r="Q395" t="str">
        <f t="shared" si="31"/>
        <v>ELIZABETH ESTRADA</v>
      </c>
      <c r="R395" t="str">
        <f t="shared" si="32"/>
        <v>germany</v>
      </c>
      <c r="S395" t="str">
        <f>PROPER(global_freelancer_raw[[#This Row],[NAME UPPER]])</f>
        <v>Elizabeth Estrada</v>
      </c>
      <c r="T395" t="str">
        <f t="shared" si="33"/>
        <v>Ge</v>
      </c>
      <c r="U395" t="str">
        <f t="shared" si="30"/>
        <v xml:space="preserve">abeth </v>
      </c>
      <c r="V395" t="str">
        <f t="shared" si="34"/>
        <v>94</v>
      </c>
    </row>
    <row r="396" spans="1:22" x14ac:dyDescent="0.3">
      <c r="A396" s="1" t="s">
        <v>881</v>
      </c>
      <c r="B396" s="1" t="s">
        <v>882</v>
      </c>
      <c r="C396" s="1" t="s">
        <v>16</v>
      </c>
      <c r="D396">
        <v>41</v>
      </c>
      <c r="E396" s="1" t="s">
        <v>148</v>
      </c>
      <c r="F396" s="1" t="s">
        <v>149</v>
      </c>
      <c r="G396" s="1" t="s">
        <v>19</v>
      </c>
      <c r="H396">
        <v>21</v>
      </c>
      <c r="J396">
        <v>0</v>
      </c>
      <c r="K396" t="s">
        <v>83</v>
      </c>
      <c r="M396" s="1" t="s">
        <v>77</v>
      </c>
      <c r="N396" s="1" t="s">
        <v>65</v>
      </c>
      <c r="O396">
        <v>10</v>
      </c>
      <c r="P396">
        <v>9</v>
      </c>
      <c r="Q396" t="str">
        <f t="shared" si="31"/>
        <v>LORI MALONE</v>
      </c>
      <c r="R396" t="str">
        <f t="shared" si="32"/>
        <v>egypt</v>
      </c>
      <c r="S396" t="str">
        <f>PROPER(global_freelancer_raw[[#This Row],[NAME UPPER]])</f>
        <v>Lori Malone</v>
      </c>
      <c r="T396" t="str">
        <f t="shared" si="33"/>
        <v>Eg</v>
      </c>
      <c r="U396" t="str">
        <f t="shared" si="30"/>
        <v xml:space="preserve"> Malon</v>
      </c>
      <c r="V396" t="str">
        <f t="shared" si="34"/>
        <v>95</v>
      </c>
    </row>
    <row r="397" spans="1:22" x14ac:dyDescent="0.3">
      <c r="A397" s="1" t="s">
        <v>883</v>
      </c>
      <c r="B397" s="1" t="s">
        <v>884</v>
      </c>
      <c r="C397" s="1" t="s">
        <v>32</v>
      </c>
      <c r="D397">
        <v>31</v>
      </c>
      <c r="E397" s="1" t="s">
        <v>133</v>
      </c>
      <c r="F397" s="1" t="s">
        <v>134</v>
      </c>
      <c r="G397" s="1" t="s">
        <v>87</v>
      </c>
      <c r="H397">
        <v>0</v>
      </c>
      <c r="I397" t="s">
        <v>130</v>
      </c>
      <c r="J397">
        <v>4.2</v>
      </c>
      <c r="K397" t="s">
        <v>83</v>
      </c>
      <c r="L397">
        <v>82</v>
      </c>
      <c r="M397" s="1" t="s">
        <v>20</v>
      </c>
      <c r="N397" s="1" t="s">
        <v>21</v>
      </c>
      <c r="O397">
        <v>5</v>
      </c>
      <c r="P397">
        <v>1</v>
      </c>
      <c r="Q397" t="str">
        <f t="shared" si="31"/>
        <v>ANTHONY HUYNH MD</v>
      </c>
      <c r="R397" t="str">
        <f t="shared" si="32"/>
        <v>russia</v>
      </c>
      <c r="S397" t="str">
        <f>PROPER(global_freelancer_raw[[#This Row],[NAME UPPER]])</f>
        <v>Anthony Huynh Md</v>
      </c>
      <c r="T397" t="str">
        <f t="shared" si="33"/>
        <v>Ru</v>
      </c>
      <c r="U397" t="str">
        <f t="shared" si="30"/>
        <v>ony Hu</v>
      </c>
      <c r="V397" t="str">
        <f t="shared" si="34"/>
        <v>96</v>
      </c>
    </row>
    <row r="398" spans="1:22" x14ac:dyDescent="0.3">
      <c r="A398" s="1" t="s">
        <v>885</v>
      </c>
      <c r="B398" s="1" t="s">
        <v>886</v>
      </c>
      <c r="C398" s="1" t="s">
        <v>24</v>
      </c>
      <c r="D398">
        <v>58</v>
      </c>
      <c r="E398" s="1" t="s">
        <v>80</v>
      </c>
      <c r="F398" s="1" t="s">
        <v>81</v>
      </c>
      <c r="G398" s="1" t="s">
        <v>57</v>
      </c>
      <c r="H398">
        <v>0</v>
      </c>
      <c r="I398">
        <v>50</v>
      </c>
      <c r="J398">
        <v>2.2999999999999998</v>
      </c>
      <c r="K398">
        <v>0</v>
      </c>
      <c r="L398">
        <v>0.77</v>
      </c>
      <c r="M398" s="1" t="s">
        <v>72</v>
      </c>
      <c r="N398" s="1" t="s">
        <v>21</v>
      </c>
      <c r="O398">
        <v>5</v>
      </c>
      <c r="P398">
        <v>2</v>
      </c>
      <c r="Q398" t="str">
        <f t="shared" si="31"/>
        <v>MINDY YORK</v>
      </c>
      <c r="R398" t="str">
        <f t="shared" si="32"/>
        <v>argentina</v>
      </c>
      <c r="S398" t="str">
        <f>PROPER(global_freelancer_raw[[#This Row],[NAME UPPER]])</f>
        <v>Mindy York</v>
      </c>
      <c r="T398" t="str">
        <f t="shared" si="33"/>
        <v>Ar</v>
      </c>
      <c r="U398" t="str">
        <f t="shared" si="30"/>
        <v>y York</v>
      </c>
      <c r="V398" t="str">
        <f t="shared" si="34"/>
        <v>97</v>
      </c>
    </row>
    <row r="399" spans="1:22" x14ac:dyDescent="0.3">
      <c r="A399" s="1" t="s">
        <v>887</v>
      </c>
      <c r="B399" s="1" t="s">
        <v>888</v>
      </c>
      <c r="C399" s="1" t="s">
        <v>16</v>
      </c>
      <c r="D399">
        <v>45</v>
      </c>
      <c r="E399" s="1" t="s">
        <v>47</v>
      </c>
      <c r="F399" s="1" t="s">
        <v>48</v>
      </c>
      <c r="G399" s="1" t="s">
        <v>57</v>
      </c>
      <c r="H399">
        <v>17</v>
      </c>
      <c r="I399" t="s">
        <v>71</v>
      </c>
      <c r="J399">
        <v>4.7</v>
      </c>
      <c r="K399">
        <v>1</v>
      </c>
      <c r="L399">
        <v>0.73</v>
      </c>
      <c r="M399" s="1" t="s">
        <v>51</v>
      </c>
      <c r="N399" s="1" t="s">
        <v>29</v>
      </c>
      <c r="O399">
        <v>15</v>
      </c>
      <c r="P399">
        <v>11</v>
      </c>
      <c r="Q399" t="str">
        <f t="shared" si="31"/>
        <v>MS. CHRISTINE CHERRY</v>
      </c>
      <c r="R399" t="str">
        <f t="shared" si="32"/>
        <v>netherlands</v>
      </c>
      <c r="S399" t="str">
        <f>PROPER(global_freelancer_raw[[#This Row],[NAME UPPER]])</f>
        <v>Ms. Christine Cherry</v>
      </c>
      <c r="T399" t="str">
        <f t="shared" si="33"/>
        <v>Ne</v>
      </c>
      <c r="U399" t="str">
        <f t="shared" si="30"/>
        <v>Christ</v>
      </c>
      <c r="V399" t="str">
        <f t="shared" si="34"/>
        <v>98</v>
      </c>
    </row>
    <row r="400" spans="1:22" x14ac:dyDescent="0.3">
      <c r="A400" s="1" t="s">
        <v>889</v>
      </c>
      <c r="B400" s="1" t="s">
        <v>890</v>
      </c>
      <c r="C400" s="1" t="s">
        <v>54</v>
      </c>
      <c r="D400">
        <v>51</v>
      </c>
      <c r="E400" s="1" t="s">
        <v>121</v>
      </c>
      <c r="F400" s="1" t="s">
        <v>122</v>
      </c>
      <c r="G400" s="1" t="s">
        <v>87</v>
      </c>
      <c r="H400">
        <v>5</v>
      </c>
      <c r="J400">
        <v>3</v>
      </c>
      <c r="K400">
        <v>1</v>
      </c>
      <c r="L400">
        <v>0.88</v>
      </c>
      <c r="M400" s="1" t="s">
        <v>20</v>
      </c>
      <c r="N400" s="1" t="s">
        <v>65</v>
      </c>
      <c r="O400">
        <v>2</v>
      </c>
      <c r="P400">
        <v>4</v>
      </c>
      <c r="Q400" t="str">
        <f t="shared" si="31"/>
        <v>DANIEL FOSTER</v>
      </c>
      <c r="R400" t="str">
        <f t="shared" si="32"/>
        <v>south korea</v>
      </c>
      <c r="S400" t="str">
        <f>PROPER(global_freelancer_raw[[#This Row],[NAME UPPER]])</f>
        <v>Daniel Foster</v>
      </c>
      <c r="T400" t="str">
        <f t="shared" si="33"/>
        <v>So</v>
      </c>
      <c r="U400" t="str">
        <f t="shared" si="30"/>
        <v>el Fos</v>
      </c>
      <c r="V400" t="str">
        <f t="shared" si="34"/>
        <v>99</v>
      </c>
    </row>
    <row r="401" spans="1:22" x14ac:dyDescent="0.3">
      <c r="A401" s="1" t="s">
        <v>891</v>
      </c>
      <c r="B401" s="1" t="s">
        <v>892</v>
      </c>
      <c r="C401" s="1" t="s">
        <v>68</v>
      </c>
      <c r="D401">
        <v>54</v>
      </c>
      <c r="E401" s="1" t="s">
        <v>64</v>
      </c>
      <c r="F401" s="1" t="s">
        <v>26</v>
      </c>
      <c r="G401" s="1" t="s">
        <v>82</v>
      </c>
      <c r="H401">
        <v>3</v>
      </c>
      <c r="I401" t="s">
        <v>118</v>
      </c>
      <c r="J401">
        <v>2.4</v>
      </c>
      <c r="K401">
        <v>0</v>
      </c>
      <c r="L401">
        <v>0.81</v>
      </c>
      <c r="M401" s="1" t="s">
        <v>72</v>
      </c>
      <c r="N401" s="1" t="s">
        <v>65</v>
      </c>
      <c r="O401">
        <v>2</v>
      </c>
      <c r="P401">
        <v>3</v>
      </c>
      <c r="Q401" t="str">
        <f t="shared" si="31"/>
        <v>MR. DAVID VALENCIA</v>
      </c>
      <c r="R401" t="str">
        <f t="shared" si="32"/>
        <v>us</v>
      </c>
      <c r="S401" t="str">
        <f>PROPER(global_freelancer_raw[[#This Row],[NAME UPPER]])</f>
        <v>Mr. David Valencia</v>
      </c>
      <c r="T401" t="str">
        <f t="shared" si="33"/>
        <v>US</v>
      </c>
      <c r="U401" t="str">
        <f t="shared" si="30"/>
        <v xml:space="preserve">David </v>
      </c>
      <c r="V401" t="str">
        <f t="shared" si="34"/>
        <v>00</v>
      </c>
    </row>
    <row r="402" spans="1:22" x14ac:dyDescent="0.3">
      <c r="A402" s="1" t="s">
        <v>893</v>
      </c>
      <c r="B402" s="1" t="s">
        <v>894</v>
      </c>
      <c r="C402" s="1" t="s">
        <v>101</v>
      </c>
      <c r="D402">
        <v>22</v>
      </c>
      <c r="E402" s="1" t="s">
        <v>133</v>
      </c>
      <c r="F402" s="1" t="s">
        <v>134</v>
      </c>
      <c r="G402" s="1" t="s">
        <v>57</v>
      </c>
      <c r="H402">
        <v>1</v>
      </c>
      <c r="I402">
        <v>20</v>
      </c>
      <c r="J402">
        <v>1.7</v>
      </c>
      <c r="K402" t="s">
        <v>35</v>
      </c>
      <c r="L402">
        <v>0.78</v>
      </c>
      <c r="M402" s="1" t="s">
        <v>72</v>
      </c>
      <c r="N402" s="1" t="s">
        <v>65</v>
      </c>
      <c r="O402">
        <v>1</v>
      </c>
      <c r="P402">
        <v>2</v>
      </c>
      <c r="Q402" t="str">
        <f t="shared" si="31"/>
        <v>ETHAN ADAMS</v>
      </c>
      <c r="R402" t="str">
        <f t="shared" si="32"/>
        <v>russia</v>
      </c>
      <c r="S402" t="str">
        <f>PROPER(global_freelancer_raw[[#This Row],[NAME UPPER]])</f>
        <v>Ethan Adams</v>
      </c>
      <c r="T402" t="str">
        <f t="shared" si="33"/>
        <v>Ru</v>
      </c>
      <c r="U402" t="str">
        <f t="shared" si="30"/>
        <v>n Adam</v>
      </c>
      <c r="V402" t="str">
        <f t="shared" si="34"/>
        <v>01</v>
      </c>
    </row>
    <row r="403" spans="1:22" x14ac:dyDescent="0.3">
      <c r="A403" s="1" t="s">
        <v>895</v>
      </c>
      <c r="B403" s="1" t="s">
        <v>896</v>
      </c>
      <c r="C403" s="1" t="s">
        <v>101</v>
      </c>
      <c r="D403">
        <v>36</v>
      </c>
      <c r="E403" s="1" t="s">
        <v>69</v>
      </c>
      <c r="F403" s="1" t="s">
        <v>70</v>
      </c>
      <c r="G403" s="1" t="s">
        <v>87</v>
      </c>
      <c r="H403">
        <v>2</v>
      </c>
      <c r="I403">
        <v>75</v>
      </c>
      <c r="J403">
        <v>0</v>
      </c>
      <c r="K403" t="b">
        <v>0</v>
      </c>
      <c r="L403">
        <v>0.92</v>
      </c>
      <c r="M403" s="1" t="s">
        <v>51</v>
      </c>
      <c r="N403" s="1" t="s">
        <v>65</v>
      </c>
      <c r="O403">
        <v>5</v>
      </c>
      <c r="P403">
        <v>1</v>
      </c>
      <c r="Q403" t="str">
        <f t="shared" si="31"/>
        <v>BRETT MOORE</v>
      </c>
      <c r="R403" t="str">
        <f t="shared" si="32"/>
        <v>turkey</v>
      </c>
      <c r="S403" t="str">
        <f>PROPER(global_freelancer_raw[[#This Row],[NAME UPPER]])</f>
        <v>Brett Moore</v>
      </c>
      <c r="T403" t="str">
        <f t="shared" si="33"/>
        <v>Tu</v>
      </c>
      <c r="U403" t="str">
        <f t="shared" si="30"/>
        <v>t Moor</v>
      </c>
      <c r="V403" t="str">
        <f t="shared" si="34"/>
        <v>02</v>
      </c>
    </row>
    <row r="404" spans="1:22" x14ac:dyDescent="0.3">
      <c r="A404" s="1" t="s">
        <v>897</v>
      </c>
      <c r="B404" s="1" t="s">
        <v>898</v>
      </c>
      <c r="C404" s="1" t="s">
        <v>68</v>
      </c>
      <c r="D404">
        <v>50</v>
      </c>
      <c r="E404" s="1" t="s">
        <v>33</v>
      </c>
      <c r="F404" s="1" t="s">
        <v>33</v>
      </c>
      <c r="G404" s="1" t="s">
        <v>98</v>
      </c>
      <c r="H404">
        <v>32</v>
      </c>
      <c r="I404" t="s">
        <v>50</v>
      </c>
      <c r="K404">
        <v>0</v>
      </c>
      <c r="L404">
        <v>0.64</v>
      </c>
      <c r="M404" s="1" t="s">
        <v>51</v>
      </c>
      <c r="N404" s="1" t="s">
        <v>65</v>
      </c>
      <c r="O404">
        <v>12</v>
      </c>
      <c r="P404">
        <v>15</v>
      </c>
      <c r="Q404" t="str">
        <f t="shared" si="31"/>
        <v>PHILLIP GRIFFIN</v>
      </c>
      <c r="R404" t="str">
        <f t="shared" si="32"/>
        <v>germany</v>
      </c>
      <c r="S404" t="str">
        <f>PROPER(global_freelancer_raw[[#This Row],[NAME UPPER]])</f>
        <v>Phillip Griffin</v>
      </c>
      <c r="T404" t="str">
        <f t="shared" si="33"/>
        <v>Ge</v>
      </c>
      <c r="U404" t="str">
        <f t="shared" si="30"/>
        <v>lip Gr</v>
      </c>
      <c r="V404" t="str">
        <f t="shared" si="34"/>
        <v>03</v>
      </c>
    </row>
    <row r="405" spans="1:22" x14ac:dyDescent="0.3">
      <c r="A405" s="1" t="s">
        <v>899</v>
      </c>
      <c r="B405" s="1" t="s">
        <v>900</v>
      </c>
      <c r="C405" s="1" t="s">
        <v>86</v>
      </c>
      <c r="D405">
        <v>41</v>
      </c>
      <c r="E405" s="1" t="s">
        <v>25</v>
      </c>
      <c r="F405" s="1" t="s">
        <v>26</v>
      </c>
      <c r="G405" s="1" t="s">
        <v>19</v>
      </c>
      <c r="H405">
        <v>14</v>
      </c>
      <c r="I405">
        <v>30</v>
      </c>
      <c r="J405">
        <v>0</v>
      </c>
      <c r="K405" t="s">
        <v>83</v>
      </c>
      <c r="L405">
        <v>0.78</v>
      </c>
      <c r="M405" s="1" t="s">
        <v>51</v>
      </c>
      <c r="N405" s="1" t="s">
        <v>36</v>
      </c>
      <c r="O405">
        <v>7</v>
      </c>
      <c r="P405">
        <v>10</v>
      </c>
      <c r="Q405" t="str">
        <f t="shared" si="31"/>
        <v>STACIE WALL</v>
      </c>
      <c r="R405" t="str">
        <f t="shared" si="32"/>
        <v>australia</v>
      </c>
      <c r="S405" t="str">
        <f>PROPER(global_freelancer_raw[[#This Row],[NAME UPPER]])</f>
        <v>Stacie Wall</v>
      </c>
      <c r="T405" t="str">
        <f t="shared" si="33"/>
        <v>Au</v>
      </c>
      <c r="U405" t="str">
        <f t="shared" si="30"/>
        <v>ie Wal</v>
      </c>
      <c r="V405" t="str">
        <f t="shared" si="34"/>
        <v>04</v>
      </c>
    </row>
    <row r="406" spans="1:22" x14ac:dyDescent="0.3">
      <c r="A406" s="1" t="s">
        <v>901</v>
      </c>
      <c r="B406" s="1" t="s">
        <v>902</v>
      </c>
      <c r="C406" s="1" t="s">
        <v>101</v>
      </c>
      <c r="E406" s="1" t="s">
        <v>162</v>
      </c>
      <c r="F406" s="1" t="s">
        <v>163</v>
      </c>
      <c r="G406" s="1" t="s">
        <v>40</v>
      </c>
      <c r="H406">
        <v>10</v>
      </c>
      <c r="I406">
        <v>20</v>
      </c>
      <c r="J406">
        <v>1.8</v>
      </c>
      <c r="K406" t="s">
        <v>76</v>
      </c>
      <c r="L406">
        <v>85</v>
      </c>
      <c r="M406" s="1" t="s">
        <v>77</v>
      </c>
      <c r="N406" s="1" t="s">
        <v>21</v>
      </c>
      <c r="O406">
        <v>6</v>
      </c>
      <c r="P406">
        <v>4</v>
      </c>
      <c r="Q406" t="str">
        <f t="shared" si="31"/>
        <v>JACOB AUSTIN</v>
      </c>
      <c r="R406" t="str">
        <f t="shared" si="32"/>
        <v>south africa</v>
      </c>
      <c r="S406" t="str">
        <f>PROPER(global_freelancer_raw[[#This Row],[NAME UPPER]])</f>
        <v>Jacob Austin</v>
      </c>
      <c r="T406" t="str">
        <f t="shared" si="33"/>
        <v>So</v>
      </c>
      <c r="U406" t="str">
        <f t="shared" si="30"/>
        <v>b Aust</v>
      </c>
      <c r="V406" t="str">
        <f t="shared" si="34"/>
        <v>05</v>
      </c>
    </row>
    <row r="407" spans="1:22" x14ac:dyDescent="0.3">
      <c r="A407" s="1" t="s">
        <v>903</v>
      </c>
      <c r="B407" s="1" t="s">
        <v>904</v>
      </c>
      <c r="C407" s="1" t="s">
        <v>24</v>
      </c>
      <c r="D407">
        <v>51</v>
      </c>
      <c r="E407" s="1" t="s">
        <v>47</v>
      </c>
      <c r="F407" s="1" t="s">
        <v>48</v>
      </c>
      <c r="G407" s="1" t="s">
        <v>87</v>
      </c>
      <c r="H407">
        <v>27</v>
      </c>
      <c r="I407" t="s">
        <v>71</v>
      </c>
      <c r="J407">
        <v>0</v>
      </c>
      <c r="K407" t="s">
        <v>168</v>
      </c>
      <c r="L407">
        <v>0.78</v>
      </c>
      <c r="M407" s="1" t="s">
        <v>51</v>
      </c>
      <c r="N407" s="1" t="s">
        <v>36</v>
      </c>
      <c r="O407">
        <v>14</v>
      </c>
      <c r="P407">
        <v>11</v>
      </c>
      <c r="Q407" t="str">
        <f t="shared" si="31"/>
        <v>SABRINA DAVIDSON</v>
      </c>
      <c r="R407" t="str">
        <f t="shared" si="32"/>
        <v>netherlands</v>
      </c>
      <c r="S407" t="str">
        <f>PROPER(global_freelancer_raw[[#This Row],[NAME UPPER]])</f>
        <v>Sabrina Davidson</v>
      </c>
      <c r="T407" t="str">
        <f t="shared" si="33"/>
        <v>Ne</v>
      </c>
      <c r="U407" t="str">
        <f t="shared" si="30"/>
        <v>ina Da</v>
      </c>
      <c r="V407" t="str">
        <f t="shared" si="34"/>
        <v>06</v>
      </c>
    </row>
    <row r="408" spans="1:22" x14ac:dyDescent="0.3">
      <c r="A408" s="1" t="s">
        <v>905</v>
      </c>
      <c r="B408" s="1" t="s">
        <v>906</v>
      </c>
      <c r="C408" s="1" t="s">
        <v>32</v>
      </c>
      <c r="D408">
        <v>21</v>
      </c>
      <c r="E408" s="1" t="s">
        <v>144</v>
      </c>
      <c r="F408" s="1" t="s">
        <v>145</v>
      </c>
      <c r="G408" s="1" t="s">
        <v>49</v>
      </c>
      <c r="H408">
        <v>2</v>
      </c>
      <c r="I408" t="s">
        <v>50</v>
      </c>
      <c r="J408">
        <v>3.8</v>
      </c>
      <c r="K408">
        <v>1</v>
      </c>
      <c r="L408">
        <v>0.98</v>
      </c>
      <c r="M408" s="1" t="s">
        <v>72</v>
      </c>
      <c r="N408" s="1" t="s">
        <v>65</v>
      </c>
      <c r="O408">
        <v>2</v>
      </c>
      <c r="P408">
        <v>1</v>
      </c>
      <c r="Q408" t="str">
        <f t="shared" si="31"/>
        <v>DUSTIN DOUGLAS</v>
      </c>
      <c r="R408" t="str">
        <f t="shared" si="32"/>
        <v>france</v>
      </c>
      <c r="S408" t="str">
        <f>PROPER(global_freelancer_raw[[#This Row],[NAME UPPER]])</f>
        <v>Dustin Douglas</v>
      </c>
      <c r="T408" t="str">
        <f t="shared" si="33"/>
        <v>Fr</v>
      </c>
      <c r="U408" t="str">
        <f t="shared" si="30"/>
        <v>in Dou</v>
      </c>
      <c r="V408" t="str">
        <f t="shared" si="34"/>
        <v>07</v>
      </c>
    </row>
    <row r="409" spans="1:22" x14ac:dyDescent="0.3">
      <c r="A409" s="1" t="s">
        <v>907</v>
      </c>
      <c r="B409" s="1" t="s">
        <v>908</v>
      </c>
      <c r="C409" s="1" t="s">
        <v>68</v>
      </c>
      <c r="D409">
        <v>51</v>
      </c>
      <c r="E409" s="1" t="s">
        <v>94</v>
      </c>
      <c r="F409" s="1" t="s">
        <v>95</v>
      </c>
      <c r="G409" s="1" t="s">
        <v>49</v>
      </c>
      <c r="H409">
        <v>33</v>
      </c>
      <c r="I409" t="s">
        <v>61</v>
      </c>
      <c r="J409">
        <v>0</v>
      </c>
      <c r="K409" t="s">
        <v>83</v>
      </c>
      <c r="L409">
        <v>0.63</v>
      </c>
      <c r="M409" s="1" t="s">
        <v>51</v>
      </c>
      <c r="N409" s="1" t="s">
        <v>29</v>
      </c>
      <c r="O409">
        <v>16</v>
      </c>
      <c r="P409">
        <v>14</v>
      </c>
      <c r="Q409" t="str">
        <f t="shared" si="31"/>
        <v>STEVEN NORRIS</v>
      </c>
      <c r="R409" t="str">
        <f t="shared" si="32"/>
        <v>japan</v>
      </c>
      <c r="S409" t="str">
        <f>PROPER(global_freelancer_raw[[#This Row],[NAME UPPER]])</f>
        <v>Steven Norris</v>
      </c>
      <c r="T409" t="str">
        <f t="shared" si="33"/>
        <v>Ja</v>
      </c>
      <c r="U409" t="str">
        <f t="shared" si="30"/>
        <v>en Nor</v>
      </c>
      <c r="V409" t="str">
        <f t="shared" si="34"/>
        <v>08</v>
      </c>
    </row>
    <row r="410" spans="1:22" x14ac:dyDescent="0.3">
      <c r="A410" s="1" t="s">
        <v>909</v>
      </c>
      <c r="B410" s="1" t="s">
        <v>910</v>
      </c>
      <c r="C410" s="1" t="s">
        <v>44</v>
      </c>
      <c r="D410">
        <v>37</v>
      </c>
      <c r="E410" s="1" t="s">
        <v>55</v>
      </c>
      <c r="F410" s="1" t="s">
        <v>56</v>
      </c>
      <c r="G410" s="1" t="s">
        <v>34</v>
      </c>
      <c r="H410">
        <v>11</v>
      </c>
      <c r="I410" t="s">
        <v>61</v>
      </c>
      <c r="J410">
        <v>3.6</v>
      </c>
      <c r="K410" t="s">
        <v>35</v>
      </c>
      <c r="L410">
        <v>0.73</v>
      </c>
      <c r="M410" s="1" t="s">
        <v>72</v>
      </c>
      <c r="N410" s="1" t="s">
        <v>29</v>
      </c>
      <c r="O410">
        <v>14</v>
      </c>
      <c r="P410">
        <v>7</v>
      </c>
      <c r="Q410" t="str">
        <f t="shared" si="31"/>
        <v>MINDY SULLIVAN</v>
      </c>
      <c r="R410" t="str">
        <f t="shared" si="32"/>
        <v>indonesia</v>
      </c>
      <c r="S410" t="str">
        <f>PROPER(global_freelancer_raw[[#This Row],[NAME UPPER]])</f>
        <v>Mindy Sullivan</v>
      </c>
      <c r="T410" t="str">
        <f t="shared" si="33"/>
        <v>In</v>
      </c>
      <c r="U410" t="str">
        <f t="shared" si="30"/>
        <v>y Sull</v>
      </c>
      <c r="V410" t="str">
        <f t="shared" si="34"/>
        <v>09</v>
      </c>
    </row>
    <row r="411" spans="1:22" x14ac:dyDescent="0.3">
      <c r="A411" s="1" t="s">
        <v>911</v>
      </c>
      <c r="B411" s="1" t="s">
        <v>912</v>
      </c>
      <c r="C411" s="1" t="s">
        <v>16</v>
      </c>
      <c r="D411">
        <v>20</v>
      </c>
      <c r="E411" s="1" t="s">
        <v>199</v>
      </c>
      <c r="F411" s="1" t="s">
        <v>81</v>
      </c>
      <c r="G411" s="1" t="s">
        <v>34</v>
      </c>
      <c r="H411">
        <v>2</v>
      </c>
      <c r="I411">
        <v>30</v>
      </c>
      <c r="J411">
        <v>0</v>
      </c>
      <c r="K411">
        <v>0</v>
      </c>
      <c r="L411">
        <v>0.94</v>
      </c>
      <c r="M411" s="1" t="s">
        <v>20</v>
      </c>
      <c r="N411" s="1" t="s">
        <v>65</v>
      </c>
      <c r="O411">
        <v>2</v>
      </c>
      <c r="P411">
        <v>4</v>
      </c>
      <c r="Q411" t="str">
        <f t="shared" si="31"/>
        <v>ELIZABETH STONE</v>
      </c>
      <c r="R411" t="str">
        <f t="shared" si="32"/>
        <v>spain</v>
      </c>
      <c r="S411" t="str">
        <f>PROPER(global_freelancer_raw[[#This Row],[NAME UPPER]])</f>
        <v>Elizabeth Stone</v>
      </c>
      <c r="T411" t="str">
        <f t="shared" si="33"/>
        <v>Sp</v>
      </c>
      <c r="U411" t="str">
        <f t="shared" si="30"/>
        <v xml:space="preserve">abeth </v>
      </c>
      <c r="V411" t="str">
        <f t="shared" si="34"/>
        <v>10</v>
      </c>
    </row>
    <row r="412" spans="1:22" x14ac:dyDescent="0.3">
      <c r="A412" s="1" t="s">
        <v>913</v>
      </c>
      <c r="B412" s="1" t="s">
        <v>914</v>
      </c>
      <c r="C412" s="1" t="s">
        <v>86</v>
      </c>
      <c r="D412">
        <v>50</v>
      </c>
      <c r="E412" s="1" t="s">
        <v>25</v>
      </c>
      <c r="F412" s="1" t="s">
        <v>26</v>
      </c>
      <c r="G412" s="1" t="s">
        <v>40</v>
      </c>
      <c r="H412">
        <v>31</v>
      </c>
      <c r="I412" t="s">
        <v>71</v>
      </c>
      <c r="J412">
        <v>4.0999999999999996</v>
      </c>
      <c r="L412">
        <v>0.81</v>
      </c>
      <c r="M412" s="1" t="s">
        <v>77</v>
      </c>
      <c r="N412" s="1" t="s">
        <v>65</v>
      </c>
      <c r="O412">
        <v>11</v>
      </c>
      <c r="P412">
        <v>3</v>
      </c>
      <c r="Q412" t="str">
        <f t="shared" si="31"/>
        <v>DIANE FLORES</v>
      </c>
      <c r="R412" t="str">
        <f t="shared" si="32"/>
        <v>australia</v>
      </c>
      <c r="S412" t="str">
        <f>PROPER(global_freelancer_raw[[#This Row],[NAME UPPER]])</f>
        <v>Diane Flores</v>
      </c>
      <c r="T412" t="str">
        <f t="shared" si="33"/>
        <v>Au</v>
      </c>
      <c r="U412" t="str">
        <f t="shared" si="30"/>
        <v>e Flor</v>
      </c>
      <c r="V412" t="str">
        <f t="shared" si="34"/>
        <v>11</v>
      </c>
    </row>
    <row r="413" spans="1:22" x14ac:dyDescent="0.3">
      <c r="A413" s="1" t="s">
        <v>915</v>
      </c>
      <c r="B413" s="1" t="s">
        <v>916</v>
      </c>
      <c r="C413" s="1" t="s">
        <v>24</v>
      </c>
      <c r="D413">
        <v>58</v>
      </c>
      <c r="E413" s="1" t="s">
        <v>69</v>
      </c>
      <c r="F413" s="1" t="s">
        <v>70</v>
      </c>
      <c r="G413" s="1" t="s">
        <v>34</v>
      </c>
      <c r="H413">
        <v>17</v>
      </c>
      <c r="I413" t="s">
        <v>71</v>
      </c>
      <c r="J413">
        <v>2.6</v>
      </c>
      <c r="K413">
        <v>1</v>
      </c>
      <c r="L413">
        <v>0.61</v>
      </c>
      <c r="M413" s="1" t="s">
        <v>20</v>
      </c>
      <c r="N413" s="1" t="s">
        <v>29</v>
      </c>
      <c r="O413">
        <v>20</v>
      </c>
      <c r="P413">
        <v>1</v>
      </c>
      <c r="Q413" t="str">
        <f t="shared" si="31"/>
        <v>JESSICA ERICKSON</v>
      </c>
      <c r="R413" t="str">
        <f t="shared" si="32"/>
        <v>turkey</v>
      </c>
      <c r="S413" t="str">
        <f>PROPER(global_freelancer_raw[[#This Row],[NAME UPPER]])</f>
        <v>Jessica Erickson</v>
      </c>
      <c r="T413" t="str">
        <f t="shared" si="33"/>
        <v>Tu</v>
      </c>
      <c r="U413" t="str">
        <f t="shared" si="30"/>
        <v>ica Er</v>
      </c>
      <c r="V413" t="str">
        <f t="shared" si="34"/>
        <v>12</v>
      </c>
    </row>
    <row r="414" spans="1:22" x14ac:dyDescent="0.3">
      <c r="A414" s="1" t="s">
        <v>917</v>
      </c>
      <c r="B414" s="1" t="s">
        <v>918</v>
      </c>
      <c r="C414" s="1" t="s">
        <v>24</v>
      </c>
      <c r="D414">
        <v>40</v>
      </c>
      <c r="E414" s="1" t="s">
        <v>116</v>
      </c>
      <c r="F414" s="1" t="s">
        <v>117</v>
      </c>
      <c r="G414" s="1" t="s">
        <v>82</v>
      </c>
      <c r="H414">
        <v>2</v>
      </c>
      <c r="I414" t="s">
        <v>238</v>
      </c>
      <c r="J414">
        <v>0</v>
      </c>
      <c r="K414">
        <v>0</v>
      </c>
      <c r="M414" s="1" t="s">
        <v>20</v>
      </c>
      <c r="N414" s="1" t="s">
        <v>36</v>
      </c>
      <c r="O414">
        <v>3</v>
      </c>
      <c r="P414">
        <v>5</v>
      </c>
      <c r="Q414" t="str">
        <f t="shared" si="31"/>
        <v>SARA MOSES</v>
      </c>
      <c r="R414" t="str">
        <f t="shared" si="32"/>
        <v>brazil</v>
      </c>
      <c r="S414" t="str">
        <f>PROPER(global_freelancer_raw[[#This Row],[NAME UPPER]])</f>
        <v>Sara Moses</v>
      </c>
      <c r="T414" t="str">
        <f t="shared" si="33"/>
        <v>Br</v>
      </c>
      <c r="U414" t="str">
        <f t="shared" si="30"/>
        <v xml:space="preserve"> Moses</v>
      </c>
      <c r="V414" t="str">
        <f t="shared" si="34"/>
        <v>13</v>
      </c>
    </row>
    <row r="415" spans="1:22" x14ac:dyDescent="0.3">
      <c r="A415" s="1" t="s">
        <v>919</v>
      </c>
      <c r="B415" s="1" t="s">
        <v>920</v>
      </c>
      <c r="C415" s="1" t="s">
        <v>39</v>
      </c>
      <c r="D415">
        <v>26</v>
      </c>
      <c r="E415" s="1" t="s">
        <v>148</v>
      </c>
      <c r="F415" s="1" t="s">
        <v>149</v>
      </c>
      <c r="G415" s="1" t="s">
        <v>40</v>
      </c>
      <c r="H415">
        <v>2</v>
      </c>
      <c r="I415">
        <v>20</v>
      </c>
      <c r="J415">
        <v>1.3</v>
      </c>
      <c r="K415" t="s">
        <v>168</v>
      </c>
      <c r="L415">
        <v>0.83</v>
      </c>
      <c r="M415" s="1" t="s">
        <v>72</v>
      </c>
      <c r="N415" s="1" t="s">
        <v>36</v>
      </c>
      <c r="O415">
        <v>1</v>
      </c>
      <c r="P415">
        <v>5</v>
      </c>
      <c r="Q415" t="str">
        <f t="shared" si="31"/>
        <v>ALLISON HENDERSON</v>
      </c>
      <c r="R415" t="str">
        <f t="shared" si="32"/>
        <v>egypt</v>
      </c>
      <c r="S415" t="str">
        <f>PROPER(global_freelancer_raw[[#This Row],[NAME UPPER]])</f>
        <v>Allison Henderson</v>
      </c>
      <c r="T415" t="str">
        <f t="shared" si="33"/>
        <v>Eg</v>
      </c>
      <c r="U415" t="str">
        <f t="shared" si="30"/>
        <v>son He</v>
      </c>
      <c r="V415" t="str">
        <f t="shared" si="34"/>
        <v>14</v>
      </c>
    </row>
    <row r="416" spans="1:22" x14ac:dyDescent="0.3">
      <c r="A416" s="1" t="s">
        <v>921</v>
      </c>
      <c r="B416" s="1" t="s">
        <v>922</v>
      </c>
      <c r="C416" s="1" t="s">
        <v>24</v>
      </c>
      <c r="D416">
        <v>44</v>
      </c>
      <c r="E416" s="1" t="s">
        <v>121</v>
      </c>
      <c r="F416" s="1" t="s">
        <v>122</v>
      </c>
      <c r="G416" s="1" t="s">
        <v>87</v>
      </c>
      <c r="H416">
        <v>22</v>
      </c>
      <c r="I416">
        <v>30</v>
      </c>
      <c r="J416">
        <v>4.0999999999999996</v>
      </c>
      <c r="K416" t="s">
        <v>83</v>
      </c>
      <c r="M416" s="1" t="s">
        <v>20</v>
      </c>
      <c r="N416" s="1" t="s">
        <v>65</v>
      </c>
      <c r="O416">
        <v>15</v>
      </c>
      <c r="P416">
        <v>5</v>
      </c>
      <c r="Q416" t="str">
        <f t="shared" si="31"/>
        <v>SUSAN DIXON</v>
      </c>
      <c r="R416" t="str">
        <f t="shared" si="32"/>
        <v>south korea</v>
      </c>
      <c r="S416" t="str">
        <f>PROPER(global_freelancer_raw[[#This Row],[NAME UPPER]])</f>
        <v>Susan Dixon</v>
      </c>
      <c r="T416" t="str">
        <f t="shared" si="33"/>
        <v>So</v>
      </c>
      <c r="U416" t="str">
        <f t="shared" si="30"/>
        <v>n Dixo</v>
      </c>
      <c r="V416" t="str">
        <f t="shared" si="34"/>
        <v>15</v>
      </c>
    </row>
    <row r="417" spans="1:22" x14ac:dyDescent="0.3">
      <c r="A417" s="1" t="s">
        <v>923</v>
      </c>
      <c r="B417" s="1" t="s">
        <v>924</v>
      </c>
      <c r="C417" s="1" t="s">
        <v>32</v>
      </c>
      <c r="D417">
        <v>42</v>
      </c>
      <c r="E417" s="1" t="s">
        <v>188</v>
      </c>
      <c r="F417" s="1" t="s">
        <v>81</v>
      </c>
      <c r="G417" s="1" t="s">
        <v>123</v>
      </c>
      <c r="H417">
        <v>8</v>
      </c>
      <c r="I417" t="s">
        <v>71</v>
      </c>
      <c r="J417">
        <v>2.4</v>
      </c>
      <c r="K417" t="s">
        <v>168</v>
      </c>
      <c r="L417">
        <v>0.68</v>
      </c>
      <c r="M417" s="1" t="s">
        <v>72</v>
      </c>
      <c r="N417" s="1" t="s">
        <v>36</v>
      </c>
      <c r="O417">
        <v>7</v>
      </c>
      <c r="P417">
        <v>11</v>
      </c>
      <c r="Q417" t="str">
        <f t="shared" si="31"/>
        <v>DAVID MORRISON</v>
      </c>
      <c r="R417" t="str">
        <f t="shared" si="32"/>
        <v>mexico</v>
      </c>
      <c r="S417" t="str">
        <f>PROPER(global_freelancer_raw[[#This Row],[NAME UPPER]])</f>
        <v>David Morrison</v>
      </c>
      <c r="T417" t="str">
        <f t="shared" si="33"/>
        <v>Me</v>
      </c>
      <c r="U417" t="str">
        <f t="shared" si="30"/>
        <v>d Morr</v>
      </c>
      <c r="V417" t="str">
        <f t="shared" si="34"/>
        <v>16</v>
      </c>
    </row>
    <row r="418" spans="1:22" x14ac:dyDescent="0.3">
      <c r="A418" s="1" t="s">
        <v>925</v>
      </c>
      <c r="B418" s="1" t="s">
        <v>345</v>
      </c>
      <c r="C418" s="1" t="s">
        <v>101</v>
      </c>
      <c r="D418">
        <v>38</v>
      </c>
      <c r="E418" s="1" t="s">
        <v>188</v>
      </c>
      <c r="F418" s="1" t="s">
        <v>81</v>
      </c>
      <c r="G418" s="1" t="s">
        <v>57</v>
      </c>
      <c r="H418">
        <v>9</v>
      </c>
      <c r="I418" t="s">
        <v>71</v>
      </c>
      <c r="J418">
        <v>0</v>
      </c>
      <c r="K418">
        <v>0</v>
      </c>
      <c r="L418">
        <v>0.74</v>
      </c>
      <c r="M418" s="1" t="s">
        <v>51</v>
      </c>
      <c r="N418" s="1" t="s">
        <v>29</v>
      </c>
      <c r="O418">
        <v>9</v>
      </c>
      <c r="P418">
        <v>9</v>
      </c>
      <c r="Q418" t="str">
        <f t="shared" si="31"/>
        <v>JASON CARTER</v>
      </c>
      <c r="R418" t="str">
        <f t="shared" si="32"/>
        <v>mexico</v>
      </c>
      <c r="S418" t="str">
        <f>PROPER(global_freelancer_raw[[#This Row],[NAME UPPER]])</f>
        <v>Jason Carter</v>
      </c>
      <c r="T418" t="str">
        <f t="shared" si="33"/>
        <v>Me</v>
      </c>
      <c r="U418" t="str">
        <f t="shared" si="30"/>
        <v>n Cart</v>
      </c>
      <c r="V418" t="str">
        <f t="shared" si="34"/>
        <v>17</v>
      </c>
    </row>
    <row r="419" spans="1:22" x14ac:dyDescent="0.3">
      <c r="A419" s="1" t="s">
        <v>926</v>
      </c>
      <c r="B419" s="1" t="s">
        <v>927</v>
      </c>
      <c r="C419" s="1" t="s">
        <v>32</v>
      </c>
      <c r="D419">
        <v>51</v>
      </c>
      <c r="E419" s="1" t="s">
        <v>148</v>
      </c>
      <c r="F419" s="1" t="s">
        <v>149</v>
      </c>
      <c r="G419" s="1" t="s">
        <v>40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s="1" t="s">
        <v>51</v>
      </c>
      <c r="N419" s="1" t="s">
        <v>36</v>
      </c>
      <c r="O419">
        <v>14</v>
      </c>
      <c r="P419">
        <v>15</v>
      </c>
      <c r="Q419" t="str">
        <f t="shared" si="31"/>
        <v>JAMES JACOBS</v>
      </c>
      <c r="R419" t="str">
        <f t="shared" si="32"/>
        <v>egypt</v>
      </c>
      <c r="S419" t="str">
        <f>PROPER(global_freelancer_raw[[#This Row],[NAME UPPER]])</f>
        <v>James Jacobs</v>
      </c>
      <c r="T419" t="str">
        <f t="shared" si="33"/>
        <v>Eg</v>
      </c>
      <c r="U419" t="str">
        <f t="shared" si="30"/>
        <v>s Jaco</v>
      </c>
      <c r="V419" t="str">
        <f t="shared" si="34"/>
        <v>18</v>
      </c>
    </row>
    <row r="420" spans="1:22" x14ac:dyDescent="0.3">
      <c r="A420" s="1" t="s">
        <v>928</v>
      </c>
      <c r="B420" s="1" t="s">
        <v>929</v>
      </c>
      <c r="C420" s="1" t="s">
        <v>44</v>
      </c>
      <c r="D420">
        <v>36</v>
      </c>
      <c r="E420" s="1" t="s">
        <v>144</v>
      </c>
      <c r="F420" s="1" t="s">
        <v>145</v>
      </c>
      <c r="G420" s="1" t="s">
        <v>49</v>
      </c>
      <c r="H420">
        <v>8</v>
      </c>
      <c r="I420" t="s">
        <v>28</v>
      </c>
      <c r="J420">
        <v>2.2000000000000002</v>
      </c>
      <c r="K420">
        <v>1</v>
      </c>
      <c r="L420">
        <v>0.97</v>
      </c>
      <c r="M420" s="1" t="s">
        <v>72</v>
      </c>
      <c r="N420" s="1" t="s">
        <v>65</v>
      </c>
      <c r="O420">
        <v>10</v>
      </c>
      <c r="P420">
        <v>5</v>
      </c>
      <c r="Q420" t="str">
        <f t="shared" si="31"/>
        <v>KATHLEEN QUINN</v>
      </c>
      <c r="R420" t="str">
        <f t="shared" si="32"/>
        <v>france</v>
      </c>
      <c r="S420" t="str">
        <f>PROPER(global_freelancer_raw[[#This Row],[NAME UPPER]])</f>
        <v>Kathleen Quinn</v>
      </c>
      <c r="T420" t="str">
        <f t="shared" si="33"/>
        <v>Fr</v>
      </c>
      <c r="U420" t="str">
        <f t="shared" si="30"/>
        <v>leen Q</v>
      </c>
      <c r="V420" t="str">
        <f t="shared" si="34"/>
        <v>19</v>
      </c>
    </row>
    <row r="421" spans="1:22" x14ac:dyDescent="0.3">
      <c r="A421" s="1" t="s">
        <v>930</v>
      </c>
      <c r="B421" s="1" t="s">
        <v>931</v>
      </c>
      <c r="C421" s="1" t="s">
        <v>24</v>
      </c>
      <c r="D421">
        <v>37</v>
      </c>
      <c r="E421" s="1" t="s">
        <v>25</v>
      </c>
      <c r="F421" s="1" t="s">
        <v>26</v>
      </c>
      <c r="G421" s="1" t="s">
        <v>27</v>
      </c>
      <c r="H421">
        <v>10</v>
      </c>
      <c r="I421">
        <v>30</v>
      </c>
      <c r="J421">
        <v>0</v>
      </c>
      <c r="K421">
        <v>0</v>
      </c>
      <c r="L421">
        <v>0.96</v>
      </c>
      <c r="M421" s="1" t="s">
        <v>51</v>
      </c>
      <c r="N421" s="1" t="s">
        <v>29</v>
      </c>
      <c r="O421">
        <v>15</v>
      </c>
      <c r="P421">
        <v>12</v>
      </c>
      <c r="Q421" t="str">
        <f t="shared" si="31"/>
        <v>NATALIE FRANK MD</v>
      </c>
      <c r="R421" t="str">
        <f t="shared" si="32"/>
        <v>australia</v>
      </c>
      <c r="S421" t="str">
        <f>PROPER(global_freelancer_raw[[#This Row],[NAME UPPER]])</f>
        <v>Natalie Frank Md</v>
      </c>
      <c r="T421" t="str">
        <f t="shared" si="33"/>
        <v>Au</v>
      </c>
      <c r="U421" t="str">
        <f t="shared" si="30"/>
        <v>lie Fr</v>
      </c>
      <c r="V421" t="str">
        <f t="shared" si="34"/>
        <v>20</v>
      </c>
    </row>
    <row r="422" spans="1:22" x14ac:dyDescent="0.3">
      <c r="A422" s="1" t="s">
        <v>932</v>
      </c>
      <c r="B422" s="1" t="s">
        <v>933</v>
      </c>
      <c r="C422" s="1" t="s">
        <v>32</v>
      </c>
      <c r="D422">
        <v>31</v>
      </c>
      <c r="E422" s="1" t="s">
        <v>162</v>
      </c>
      <c r="F422" s="1" t="s">
        <v>163</v>
      </c>
      <c r="G422" s="1" t="s">
        <v>98</v>
      </c>
      <c r="H422">
        <v>0</v>
      </c>
      <c r="I422">
        <v>50</v>
      </c>
      <c r="J422">
        <v>1.1000000000000001</v>
      </c>
      <c r="K422" t="s">
        <v>83</v>
      </c>
      <c r="L422">
        <v>0.73</v>
      </c>
      <c r="M422" s="1" t="s">
        <v>77</v>
      </c>
      <c r="N422" s="1" t="s">
        <v>36</v>
      </c>
      <c r="O422">
        <v>2</v>
      </c>
      <c r="P422">
        <v>1</v>
      </c>
      <c r="Q422" t="str">
        <f t="shared" si="31"/>
        <v>MICHAEL REED</v>
      </c>
      <c r="R422" t="str">
        <f t="shared" si="32"/>
        <v>south africa</v>
      </c>
      <c r="S422" t="str">
        <f>PROPER(global_freelancer_raw[[#This Row],[NAME UPPER]])</f>
        <v>Michael Reed</v>
      </c>
      <c r="T422" t="str">
        <f t="shared" si="33"/>
        <v>So</v>
      </c>
      <c r="U422" t="str">
        <f t="shared" si="30"/>
        <v>ael Re</v>
      </c>
      <c r="V422" t="str">
        <f t="shared" si="34"/>
        <v>21</v>
      </c>
    </row>
    <row r="423" spans="1:22" x14ac:dyDescent="0.3">
      <c r="A423" s="1" t="s">
        <v>934</v>
      </c>
      <c r="B423" s="1" t="s">
        <v>935</v>
      </c>
      <c r="C423" s="1" t="s">
        <v>16</v>
      </c>
      <c r="D423">
        <v>47</v>
      </c>
      <c r="E423" s="1" t="s">
        <v>102</v>
      </c>
      <c r="F423" s="1" t="s">
        <v>103</v>
      </c>
      <c r="G423" s="1" t="s">
        <v>87</v>
      </c>
      <c r="H423">
        <v>22</v>
      </c>
      <c r="J423">
        <v>1.4</v>
      </c>
      <c r="K423" t="s">
        <v>76</v>
      </c>
      <c r="L423">
        <v>0.72</v>
      </c>
      <c r="M423" s="1" t="s">
        <v>20</v>
      </c>
      <c r="N423" s="1" t="s">
        <v>21</v>
      </c>
      <c r="O423">
        <v>19</v>
      </c>
      <c r="P423">
        <v>2</v>
      </c>
      <c r="Q423" t="str">
        <f t="shared" si="31"/>
        <v>SHEILA SMITH</v>
      </c>
      <c r="R423" t="str">
        <f t="shared" si="32"/>
        <v>india</v>
      </c>
      <c r="S423" t="str">
        <f>PROPER(global_freelancer_raw[[#This Row],[NAME UPPER]])</f>
        <v>Sheila Smith</v>
      </c>
      <c r="T423" t="str">
        <f t="shared" si="33"/>
        <v>In</v>
      </c>
      <c r="U423" t="str">
        <f t="shared" si="30"/>
        <v>la Smi</v>
      </c>
      <c r="V423" t="str">
        <f t="shared" si="34"/>
        <v>22</v>
      </c>
    </row>
    <row r="424" spans="1:22" x14ac:dyDescent="0.3">
      <c r="A424" s="1" t="s">
        <v>936</v>
      </c>
      <c r="B424" s="1" t="s">
        <v>937</v>
      </c>
      <c r="C424" s="1" t="s">
        <v>44</v>
      </c>
      <c r="D424">
        <v>60</v>
      </c>
      <c r="E424" s="1" t="s">
        <v>188</v>
      </c>
      <c r="F424" s="1" t="s">
        <v>81</v>
      </c>
      <c r="G424" s="1" t="s">
        <v>82</v>
      </c>
      <c r="H424">
        <v>34</v>
      </c>
      <c r="I424" t="s">
        <v>238</v>
      </c>
      <c r="J424">
        <v>0</v>
      </c>
      <c r="K424" t="b">
        <v>1</v>
      </c>
      <c r="L424">
        <v>0.74</v>
      </c>
      <c r="M424" s="1" t="s">
        <v>77</v>
      </c>
      <c r="N424" s="1" t="s">
        <v>29</v>
      </c>
      <c r="O424">
        <v>19</v>
      </c>
      <c r="P424">
        <v>14</v>
      </c>
      <c r="Q424" t="str">
        <f t="shared" si="31"/>
        <v>MORGAN FORD</v>
      </c>
      <c r="R424" t="str">
        <f t="shared" si="32"/>
        <v>mexico</v>
      </c>
      <c r="S424" t="str">
        <f>PROPER(global_freelancer_raw[[#This Row],[NAME UPPER]])</f>
        <v>Morgan Ford</v>
      </c>
      <c r="T424" t="str">
        <f t="shared" si="33"/>
        <v>Me</v>
      </c>
      <c r="U424" t="str">
        <f t="shared" si="30"/>
        <v>an For</v>
      </c>
      <c r="V424" t="str">
        <f t="shared" si="34"/>
        <v>23</v>
      </c>
    </row>
    <row r="425" spans="1:22" x14ac:dyDescent="0.3">
      <c r="A425" s="1" t="s">
        <v>938</v>
      </c>
      <c r="B425" s="1" t="s">
        <v>939</v>
      </c>
      <c r="C425" s="1" t="s">
        <v>24</v>
      </c>
      <c r="D425">
        <v>48</v>
      </c>
      <c r="E425" s="1" t="s">
        <v>80</v>
      </c>
      <c r="F425" s="1" t="s">
        <v>81</v>
      </c>
      <c r="G425" s="1" t="s">
        <v>27</v>
      </c>
      <c r="H425">
        <v>5</v>
      </c>
      <c r="I425">
        <v>30</v>
      </c>
      <c r="J425">
        <v>1.5</v>
      </c>
      <c r="K425" t="s">
        <v>35</v>
      </c>
      <c r="M425" s="1" t="s">
        <v>20</v>
      </c>
      <c r="N425" s="1" t="s">
        <v>29</v>
      </c>
      <c r="O425">
        <v>4</v>
      </c>
      <c r="P425">
        <v>2</v>
      </c>
      <c r="Q425" t="str">
        <f t="shared" si="31"/>
        <v>LINDA SCHULTZ</v>
      </c>
      <c r="R425" t="str">
        <f t="shared" si="32"/>
        <v>argentina</v>
      </c>
      <c r="S425" t="str">
        <f>PROPER(global_freelancer_raw[[#This Row],[NAME UPPER]])</f>
        <v>Linda Schultz</v>
      </c>
      <c r="T425" t="str">
        <f t="shared" si="33"/>
        <v>Ar</v>
      </c>
      <c r="U425" t="str">
        <f t="shared" si="30"/>
        <v>a Schu</v>
      </c>
      <c r="V425" t="str">
        <f t="shared" si="34"/>
        <v>24</v>
      </c>
    </row>
    <row r="426" spans="1:22" x14ac:dyDescent="0.3">
      <c r="A426" s="1" t="s">
        <v>940</v>
      </c>
      <c r="B426" s="1" t="s">
        <v>941</v>
      </c>
      <c r="C426" s="1" t="s">
        <v>39</v>
      </c>
      <c r="D426">
        <v>24</v>
      </c>
      <c r="E426" s="1" t="s">
        <v>102</v>
      </c>
      <c r="F426" s="1" t="s">
        <v>103</v>
      </c>
      <c r="G426" s="1" t="s">
        <v>49</v>
      </c>
      <c r="H426">
        <v>3</v>
      </c>
      <c r="I426">
        <v>20</v>
      </c>
      <c r="J426">
        <v>0</v>
      </c>
      <c r="K426">
        <v>1</v>
      </c>
      <c r="M426" s="1" t="s">
        <v>51</v>
      </c>
      <c r="N426" s="1" t="s">
        <v>21</v>
      </c>
      <c r="O426">
        <v>2</v>
      </c>
      <c r="P426">
        <v>1</v>
      </c>
      <c r="Q426" t="str">
        <f t="shared" si="31"/>
        <v>REGINA DANIEL</v>
      </c>
      <c r="R426" t="str">
        <f t="shared" si="32"/>
        <v>india</v>
      </c>
      <c r="S426" t="str">
        <f>PROPER(global_freelancer_raw[[#This Row],[NAME UPPER]])</f>
        <v>Regina Daniel</v>
      </c>
      <c r="T426" t="str">
        <f t="shared" si="33"/>
        <v>In</v>
      </c>
      <c r="U426" t="str">
        <f t="shared" si="30"/>
        <v>na Dan</v>
      </c>
      <c r="V426" t="str">
        <f t="shared" si="34"/>
        <v>25</v>
      </c>
    </row>
    <row r="427" spans="1:22" x14ac:dyDescent="0.3">
      <c r="A427" s="1" t="s">
        <v>942</v>
      </c>
      <c r="B427" s="1" t="s">
        <v>943</v>
      </c>
      <c r="C427" s="1" t="s">
        <v>24</v>
      </c>
      <c r="D427">
        <v>35</v>
      </c>
      <c r="E427" s="1" t="s">
        <v>47</v>
      </c>
      <c r="F427" s="1" t="s">
        <v>48</v>
      </c>
      <c r="G427" s="1" t="s">
        <v>123</v>
      </c>
      <c r="H427">
        <v>10</v>
      </c>
      <c r="I427">
        <v>75</v>
      </c>
      <c r="J427">
        <v>0</v>
      </c>
      <c r="L427">
        <v>0.74</v>
      </c>
      <c r="M427" s="1" t="s">
        <v>77</v>
      </c>
      <c r="N427" s="1" t="s">
        <v>21</v>
      </c>
      <c r="O427">
        <v>8</v>
      </c>
      <c r="P427">
        <v>9</v>
      </c>
      <c r="Q427" t="str">
        <f t="shared" si="31"/>
        <v>ALLISON PERKINS</v>
      </c>
      <c r="R427" t="str">
        <f t="shared" si="32"/>
        <v>netherlands</v>
      </c>
      <c r="S427" t="str">
        <f>PROPER(global_freelancer_raw[[#This Row],[NAME UPPER]])</f>
        <v>Allison Perkins</v>
      </c>
      <c r="T427" t="str">
        <f t="shared" si="33"/>
        <v>Ne</v>
      </c>
      <c r="U427" t="str">
        <f t="shared" si="30"/>
        <v>son Pe</v>
      </c>
      <c r="V427" t="str">
        <f t="shared" si="34"/>
        <v>26</v>
      </c>
    </row>
    <row r="428" spans="1:22" x14ac:dyDescent="0.3">
      <c r="A428" s="1" t="s">
        <v>944</v>
      </c>
      <c r="B428" s="1" t="s">
        <v>945</v>
      </c>
      <c r="C428" s="1" t="s">
        <v>68</v>
      </c>
      <c r="D428">
        <v>35</v>
      </c>
      <c r="E428" s="1" t="s">
        <v>64</v>
      </c>
      <c r="F428" s="1" t="s">
        <v>26</v>
      </c>
      <c r="G428" s="1" t="s">
        <v>98</v>
      </c>
      <c r="I428">
        <v>100</v>
      </c>
      <c r="J428">
        <v>3.5</v>
      </c>
      <c r="K428" t="s">
        <v>83</v>
      </c>
      <c r="L428">
        <v>0.71</v>
      </c>
      <c r="M428" s="1" t="s">
        <v>51</v>
      </c>
      <c r="N428" s="1" t="s">
        <v>29</v>
      </c>
      <c r="O428">
        <v>2</v>
      </c>
      <c r="P428">
        <v>1</v>
      </c>
      <c r="Q428" t="str">
        <f t="shared" si="31"/>
        <v>BRADLEY WEAVER</v>
      </c>
      <c r="R428" t="str">
        <f t="shared" si="32"/>
        <v>us</v>
      </c>
      <c r="S428" t="str">
        <f>PROPER(global_freelancer_raw[[#This Row],[NAME UPPER]])</f>
        <v>Bradley Weaver</v>
      </c>
      <c r="T428" t="str">
        <f t="shared" si="33"/>
        <v>US</v>
      </c>
      <c r="U428" t="str">
        <f t="shared" si="30"/>
        <v>ley We</v>
      </c>
      <c r="V428" t="str">
        <f t="shared" si="34"/>
        <v>27</v>
      </c>
    </row>
    <row r="429" spans="1:22" x14ac:dyDescent="0.3">
      <c r="A429" s="1" t="s">
        <v>946</v>
      </c>
      <c r="B429" s="1" t="s">
        <v>947</v>
      </c>
      <c r="C429" s="1" t="s">
        <v>86</v>
      </c>
      <c r="D429">
        <v>29</v>
      </c>
      <c r="E429" s="1" t="s">
        <v>47</v>
      </c>
      <c r="F429" s="1" t="s">
        <v>48</v>
      </c>
      <c r="G429" s="1" t="s">
        <v>82</v>
      </c>
      <c r="H429">
        <v>6</v>
      </c>
      <c r="J429">
        <v>4.8</v>
      </c>
      <c r="K429" t="s">
        <v>35</v>
      </c>
      <c r="L429">
        <v>0.83</v>
      </c>
      <c r="M429" s="1" t="s">
        <v>20</v>
      </c>
      <c r="N429" s="1" t="s">
        <v>21</v>
      </c>
      <c r="O429">
        <v>14</v>
      </c>
      <c r="P429">
        <v>2</v>
      </c>
      <c r="Q429" t="str">
        <f t="shared" si="31"/>
        <v>SARAH HALL</v>
      </c>
      <c r="R429" t="str">
        <f t="shared" si="32"/>
        <v>netherlands</v>
      </c>
      <c r="S429" t="str">
        <f>PROPER(global_freelancer_raw[[#This Row],[NAME UPPER]])</f>
        <v>Sarah Hall</v>
      </c>
      <c r="T429" t="str">
        <f t="shared" si="33"/>
        <v>Ne</v>
      </c>
      <c r="U429" t="str">
        <f t="shared" si="30"/>
        <v>h Hall</v>
      </c>
      <c r="V429" t="str">
        <f t="shared" si="34"/>
        <v>28</v>
      </c>
    </row>
    <row r="430" spans="1:22" x14ac:dyDescent="0.3">
      <c r="A430" s="1" t="s">
        <v>948</v>
      </c>
      <c r="B430" s="1" t="s">
        <v>949</v>
      </c>
      <c r="C430" s="1" t="s">
        <v>86</v>
      </c>
      <c r="D430">
        <v>36</v>
      </c>
      <c r="E430" s="1" t="s">
        <v>17</v>
      </c>
      <c r="F430" s="1" t="s">
        <v>18</v>
      </c>
      <c r="G430" s="1" t="s">
        <v>123</v>
      </c>
      <c r="H430">
        <v>1</v>
      </c>
      <c r="I430" t="s">
        <v>179</v>
      </c>
      <c r="L430">
        <v>0.63</v>
      </c>
      <c r="M430" s="1" t="s">
        <v>72</v>
      </c>
      <c r="N430" s="1" t="s">
        <v>65</v>
      </c>
      <c r="O430">
        <v>4</v>
      </c>
      <c r="P430">
        <v>2</v>
      </c>
      <c r="Q430" t="str">
        <f t="shared" si="31"/>
        <v>DIANA WALTON</v>
      </c>
      <c r="R430" t="str">
        <f t="shared" si="32"/>
        <v>italy</v>
      </c>
      <c r="S430" t="str">
        <f>PROPER(global_freelancer_raw[[#This Row],[NAME UPPER]])</f>
        <v>Diana Walton</v>
      </c>
      <c r="T430" t="str">
        <f t="shared" si="33"/>
        <v>It</v>
      </c>
      <c r="U430" t="str">
        <f t="shared" si="30"/>
        <v>a Walt</v>
      </c>
      <c r="V430" t="str">
        <f t="shared" si="34"/>
        <v>29</v>
      </c>
    </row>
    <row r="431" spans="1:22" x14ac:dyDescent="0.3">
      <c r="A431" s="1" t="s">
        <v>950</v>
      </c>
      <c r="B431" s="1" t="s">
        <v>951</v>
      </c>
      <c r="C431" s="1" t="s">
        <v>24</v>
      </c>
      <c r="D431">
        <v>44</v>
      </c>
      <c r="E431" s="1" t="s">
        <v>137</v>
      </c>
      <c r="F431" s="1" t="s">
        <v>26</v>
      </c>
      <c r="G431" s="1" t="s">
        <v>49</v>
      </c>
      <c r="H431">
        <v>0</v>
      </c>
      <c r="J431">
        <v>4.8</v>
      </c>
      <c r="L431">
        <v>0.84</v>
      </c>
      <c r="M431" s="1" t="s">
        <v>72</v>
      </c>
      <c r="N431" s="1" t="s">
        <v>65</v>
      </c>
      <c r="O431">
        <v>4</v>
      </c>
      <c r="P431">
        <v>1</v>
      </c>
      <c r="Q431" t="str">
        <f t="shared" si="31"/>
        <v>DONNA DAVIS</v>
      </c>
      <c r="R431" t="str">
        <f t="shared" si="32"/>
        <v>canada</v>
      </c>
      <c r="S431" t="str">
        <f>PROPER(global_freelancer_raw[[#This Row],[NAME UPPER]])</f>
        <v>Donna Davis</v>
      </c>
      <c r="T431" t="str">
        <f t="shared" si="33"/>
        <v>Ca</v>
      </c>
      <c r="U431" t="str">
        <f t="shared" si="30"/>
        <v>a Davi</v>
      </c>
      <c r="V431" t="str">
        <f t="shared" si="34"/>
        <v>30</v>
      </c>
    </row>
    <row r="432" spans="1:22" x14ac:dyDescent="0.3">
      <c r="A432" s="1" t="s">
        <v>952</v>
      </c>
      <c r="B432" s="1" t="s">
        <v>953</v>
      </c>
      <c r="C432" s="1" t="s">
        <v>68</v>
      </c>
      <c r="D432">
        <v>44</v>
      </c>
      <c r="E432" s="1" t="s">
        <v>162</v>
      </c>
      <c r="F432" s="1" t="s">
        <v>163</v>
      </c>
      <c r="G432" s="1" t="s">
        <v>40</v>
      </c>
      <c r="J432">
        <v>1.4</v>
      </c>
      <c r="K432">
        <v>0</v>
      </c>
      <c r="L432">
        <v>0.93</v>
      </c>
      <c r="M432" s="1" t="s">
        <v>77</v>
      </c>
      <c r="N432" s="1" t="s">
        <v>65</v>
      </c>
      <c r="O432">
        <v>3</v>
      </c>
      <c r="P432">
        <v>1</v>
      </c>
      <c r="Q432" t="str">
        <f t="shared" si="31"/>
        <v>CHRISTOPHER MCCLAIN</v>
      </c>
      <c r="R432" t="str">
        <f t="shared" si="32"/>
        <v>south africa</v>
      </c>
      <c r="S432" t="str">
        <f>PROPER(global_freelancer_raw[[#This Row],[NAME UPPER]])</f>
        <v>Christopher Mcclain</v>
      </c>
      <c r="T432" t="str">
        <f t="shared" si="33"/>
        <v>So</v>
      </c>
      <c r="U432" t="str">
        <f t="shared" si="30"/>
        <v>stophe</v>
      </c>
      <c r="V432" t="str">
        <f t="shared" si="34"/>
        <v>31</v>
      </c>
    </row>
    <row r="433" spans="1:22" x14ac:dyDescent="0.3">
      <c r="A433" s="1" t="s">
        <v>954</v>
      </c>
      <c r="B433" s="1" t="s">
        <v>955</v>
      </c>
      <c r="C433" s="1" t="s">
        <v>54</v>
      </c>
      <c r="D433">
        <v>40</v>
      </c>
      <c r="E433" s="1" t="s">
        <v>102</v>
      </c>
      <c r="F433" s="1" t="s">
        <v>103</v>
      </c>
      <c r="G433" s="1" t="s">
        <v>49</v>
      </c>
      <c r="H433">
        <v>13</v>
      </c>
      <c r="I433" t="s">
        <v>28</v>
      </c>
      <c r="J433">
        <v>1.1000000000000001</v>
      </c>
      <c r="K433">
        <v>1</v>
      </c>
      <c r="M433" s="1" t="s">
        <v>51</v>
      </c>
      <c r="N433" s="1" t="s">
        <v>29</v>
      </c>
      <c r="O433">
        <v>13</v>
      </c>
      <c r="P433">
        <v>9</v>
      </c>
      <c r="Q433" t="str">
        <f t="shared" si="31"/>
        <v>DR. PAUL WILLIAMSON</v>
      </c>
      <c r="R433" t="str">
        <f t="shared" si="32"/>
        <v>india</v>
      </c>
      <c r="S433" t="str">
        <f>PROPER(global_freelancer_raw[[#This Row],[NAME UPPER]])</f>
        <v>Dr. Paul Williamson</v>
      </c>
      <c r="T433" t="str">
        <f t="shared" si="33"/>
        <v>In</v>
      </c>
      <c r="U433" t="str">
        <f t="shared" si="30"/>
        <v>Paul W</v>
      </c>
      <c r="V433" t="str">
        <f t="shared" si="34"/>
        <v>32</v>
      </c>
    </row>
    <row r="434" spans="1:22" x14ac:dyDescent="0.3">
      <c r="A434" s="1" t="s">
        <v>956</v>
      </c>
      <c r="B434" s="1" t="s">
        <v>957</v>
      </c>
      <c r="C434" s="1" t="s">
        <v>39</v>
      </c>
      <c r="D434">
        <v>53</v>
      </c>
      <c r="E434" s="1" t="s">
        <v>47</v>
      </c>
      <c r="F434" s="1" t="s">
        <v>48</v>
      </c>
      <c r="G434" s="1" t="s">
        <v>123</v>
      </c>
      <c r="H434">
        <v>13</v>
      </c>
      <c r="I434" t="s">
        <v>71</v>
      </c>
      <c r="J434">
        <v>3.3</v>
      </c>
      <c r="K434" t="s">
        <v>83</v>
      </c>
      <c r="L434">
        <v>0.93</v>
      </c>
      <c r="M434" s="1" t="s">
        <v>51</v>
      </c>
      <c r="N434" s="1" t="s">
        <v>21</v>
      </c>
      <c r="O434">
        <v>10</v>
      </c>
      <c r="P434">
        <v>10</v>
      </c>
      <c r="Q434" t="str">
        <f t="shared" si="31"/>
        <v>BARBARA BROWN</v>
      </c>
      <c r="R434" t="str">
        <f t="shared" si="32"/>
        <v>netherlands</v>
      </c>
      <c r="S434" t="str">
        <f>PROPER(global_freelancer_raw[[#This Row],[NAME UPPER]])</f>
        <v>Barbara Brown</v>
      </c>
      <c r="T434" t="str">
        <f t="shared" si="33"/>
        <v>Ne</v>
      </c>
      <c r="U434" t="str">
        <f t="shared" si="30"/>
        <v>ara Br</v>
      </c>
      <c r="V434" t="str">
        <f t="shared" si="34"/>
        <v>33</v>
      </c>
    </row>
    <row r="435" spans="1:22" x14ac:dyDescent="0.3">
      <c r="A435" s="1" t="s">
        <v>958</v>
      </c>
      <c r="B435" s="1" t="s">
        <v>959</v>
      </c>
      <c r="C435" s="1" t="s">
        <v>16</v>
      </c>
      <c r="D435">
        <v>35</v>
      </c>
      <c r="E435" s="1" t="s">
        <v>33</v>
      </c>
      <c r="F435" s="1" t="s">
        <v>33</v>
      </c>
      <c r="G435" s="1" t="s">
        <v>19</v>
      </c>
      <c r="H435">
        <v>0</v>
      </c>
      <c r="I435" t="s">
        <v>118</v>
      </c>
      <c r="J435">
        <v>4.5999999999999996</v>
      </c>
      <c r="L435">
        <v>0.97</v>
      </c>
      <c r="M435" s="1" t="s">
        <v>77</v>
      </c>
      <c r="N435" s="1" t="s">
        <v>21</v>
      </c>
      <c r="O435">
        <v>1</v>
      </c>
      <c r="P435">
        <v>1</v>
      </c>
      <c r="Q435" t="str">
        <f t="shared" si="31"/>
        <v>KIMBERLY ALLEN</v>
      </c>
      <c r="R435" t="str">
        <f t="shared" si="32"/>
        <v>germany</v>
      </c>
      <c r="S435" t="str">
        <f>PROPER(global_freelancer_raw[[#This Row],[NAME UPPER]])</f>
        <v>Kimberly Allen</v>
      </c>
      <c r="T435" t="str">
        <f t="shared" si="33"/>
        <v>Ge</v>
      </c>
      <c r="U435" t="str">
        <f t="shared" si="30"/>
        <v>erly A</v>
      </c>
      <c r="V435" t="str">
        <f t="shared" si="34"/>
        <v>34</v>
      </c>
    </row>
    <row r="436" spans="1:22" x14ac:dyDescent="0.3">
      <c r="A436" s="1" t="s">
        <v>960</v>
      </c>
      <c r="B436" s="1" t="s">
        <v>961</v>
      </c>
      <c r="C436" s="1" t="s">
        <v>24</v>
      </c>
      <c r="D436">
        <v>27</v>
      </c>
      <c r="E436" s="1" t="s">
        <v>80</v>
      </c>
      <c r="F436" s="1" t="s">
        <v>81</v>
      </c>
      <c r="G436" s="1" t="s">
        <v>123</v>
      </c>
      <c r="H436">
        <v>7</v>
      </c>
      <c r="I436" t="s">
        <v>58</v>
      </c>
      <c r="J436">
        <v>2.8</v>
      </c>
      <c r="K436">
        <v>1</v>
      </c>
      <c r="L436">
        <v>0.92</v>
      </c>
      <c r="M436" s="1" t="s">
        <v>72</v>
      </c>
      <c r="N436" s="1" t="s">
        <v>36</v>
      </c>
      <c r="O436">
        <v>7</v>
      </c>
      <c r="P436">
        <v>4</v>
      </c>
      <c r="Q436" t="str">
        <f t="shared" si="31"/>
        <v>ELIZABETH EDWARDS</v>
      </c>
      <c r="R436" t="str">
        <f t="shared" si="32"/>
        <v>argentina</v>
      </c>
      <c r="S436" t="str">
        <f>PROPER(global_freelancer_raw[[#This Row],[NAME UPPER]])</f>
        <v>Elizabeth Edwards</v>
      </c>
      <c r="T436" t="str">
        <f t="shared" si="33"/>
        <v>Ar</v>
      </c>
      <c r="U436" t="str">
        <f t="shared" si="30"/>
        <v xml:space="preserve">abeth </v>
      </c>
      <c r="V436" t="str">
        <f t="shared" si="34"/>
        <v>35</v>
      </c>
    </row>
    <row r="437" spans="1:22" x14ac:dyDescent="0.3">
      <c r="A437" s="1" t="s">
        <v>962</v>
      </c>
      <c r="B437" s="1" t="s">
        <v>963</v>
      </c>
      <c r="C437" s="1" t="s">
        <v>68</v>
      </c>
      <c r="D437">
        <v>34</v>
      </c>
      <c r="E437" s="1" t="s">
        <v>25</v>
      </c>
      <c r="F437" s="1" t="s">
        <v>26</v>
      </c>
      <c r="G437" s="1" t="s">
        <v>98</v>
      </c>
      <c r="H437">
        <v>6</v>
      </c>
      <c r="I437">
        <v>50</v>
      </c>
      <c r="J437">
        <v>5</v>
      </c>
      <c r="K437" t="s">
        <v>83</v>
      </c>
      <c r="L437">
        <v>0.92</v>
      </c>
      <c r="M437" s="1" t="s">
        <v>20</v>
      </c>
      <c r="N437" s="1" t="s">
        <v>36</v>
      </c>
      <c r="O437">
        <v>8</v>
      </c>
      <c r="P437">
        <v>3</v>
      </c>
      <c r="Q437" t="str">
        <f t="shared" si="31"/>
        <v>ANTHONY DOWNS</v>
      </c>
      <c r="R437" t="str">
        <f t="shared" si="32"/>
        <v>australia</v>
      </c>
      <c r="S437" t="str">
        <f>PROPER(global_freelancer_raw[[#This Row],[NAME UPPER]])</f>
        <v>Anthony Downs</v>
      </c>
      <c r="T437" t="str">
        <f t="shared" si="33"/>
        <v>Au</v>
      </c>
      <c r="U437" t="str">
        <f t="shared" si="30"/>
        <v>ony Do</v>
      </c>
      <c r="V437" t="str">
        <f t="shared" si="34"/>
        <v>36</v>
      </c>
    </row>
    <row r="438" spans="1:22" x14ac:dyDescent="0.3">
      <c r="A438" s="1" t="s">
        <v>964</v>
      </c>
      <c r="B438" s="1" t="s">
        <v>965</v>
      </c>
      <c r="C438" s="1" t="s">
        <v>32</v>
      </c>
      <c r="D438">
        <v>24</v>
      </c>
      <c r="E438" s="1" t="s">
        <v>102</v>
      </c>
      <c r="F438" s="1" t="s">
        <v>103</v>
      </c>
      <c r="G438" s="1" t="s">
        <v>87</v>
      </c>
      <c r="H438">
        <v>2</v>
      </c>
      <c r="I438">
        <v>75</v>
      </c>
      <c r="J438">
        <v>4.7</v>
      </c>
      <c r="K438" t="s">
        <v>168</v>
      </c>
      <c r="L438">
        <v>0.68</v>
      </c>
      <c r="M438" s="1" t="s">
        <v>77</v>
      </c>
      <c r="N438" s="1" t="s">
        <v>21</v>
      </c>
      <c r="O438">
        <v>1</v>
      </c>
      <c r="P438">
        <v>2</v>
      </c>
      <c r="Q438" t="str">
        <f t="shared" si="31"/>
        <v>JACK ORTEGA</v>
      </c>
      <c r="R438" t="str">
        <f t="shared" si="32"/>
        <v>india</v>
      </c>
      <c r="S438" t="str">
        <f>PROPER(global_freelancer_raw[[#This Row],[NAME UPPER]])</f>
        <v>Jack Ortega</v>
      </c>
      <c r="T438" t="str">
        <f t="shared" si="33"/>
        <v>In</v>
      </c>
      <c r="U438" t="str">
        <f t="shared" si="30"/>
        <v xml:space="preserve"> Orteg</v>
      </c>
      <c r="V438" t="str">
        <f t="shared" si="34"/>
        <v>37</v>
      </c>
    </row>
    <row r="439" spans="1:22" x14ac:dyDescent="0.3">
      <c r="A439" s="1" t="s">
        <v>966</v>
      </c>
      <c r="B439" s="1" t="s">
        <v>967</v>
      </c>
      <c r="C439" s="1" t="s">
        <v>32</v>
      </c>
      <c r="D439">
        <v>57</v>
      </c>
      <c r="E439" s="1" t="s">
        <v>64</v>
      </c>
      <c r="F439" s="1" t="s">
        <v>26</v>
      </c>
      <c r="G439" s="1" t="s">
        <v>82</v>
      </c>
      <c r="H439">
        <v>13</v>
      </c>
      <c r="I439">
        <v>100</v>
      </c>
      <c r="J439">
        <v>3.5</v>
      </c>
      <c r="K439" t="s">
        <v>168</v>
      </c>
      <c r="L439">
        <v>0.95</v>
      </c>
      <c r="M439" s="1" t="s">
        <v>20</v>
      </c>
      <c r="N439" s="1" t="s">
        <v>21</v>
      </c>
      <c r="O439">
        <v>13</v>
      </c>
      <c r="P439">
        <v>3</v>
      </c>
      <c r="Q439" t="str">
        <f t="shared" si="31"/>
        <v>MARVIN MOORE</v>
      </c>
      <c r="R439" t="str">
        <f t="shared" si="32"/>
        <v>us</v>
      </c>
      <c r="S439" t="str">
        <f>PROPER(global_freelancer_raw[[#This Row],[NAME UPPER]])</f>
        <v>Marvin Moore</v>
      </c>
      <c r="T439" t="str">
        <f t="shared" si="33"/>
        <v>US</v>
      </c>
      <c r="U439" t="str">
        <f t="shared" si="30"/>
        <v>in Moo</v>
      </c>
      <c r="V439" t="str">
        <f t="shared" si="34"/>
        <v>38</v>
      </c>
    </row>
    <row r="440" spans="1:22" x14ac:dyDescent="0.3">
      <c r="A440" s="1" t="s">
        <v>968</v>
      </c>
      <c r="B440" s="1" t="s">
        <v>969</v>
      </c>
      <c r="C440" s="1" t="s">
        <v>54</v>
      </c>
      <c r="D440">
        <v>28</v>
      </c>
      <c r="E440" s="1" t="s">
        <v>121</v>
      </c>
      <c r="F440" s="1" t="s">
        <v>122</v>
      </c>
      <c r="G440" s="1" t="s">
        <v>82</v>
      </c>
      <c r="H440">
        <v>7</v>
      </c>
      <c r="I440" t="s">
        <v>238</v>
      </c>
      <c r="J440">
        <v>4.3</v>
      </c>
      <c r="K440" t="b">
        <v>0</v>
      </c>
      <c r="L440">
        <v>0.76</v>
      </c>
      <c r="M440" s="1" t="s">
        <v>72</v>
      </c>
      <c r="N440" s="1" t="s">
        <v>21</v>
      </c>
      <c r="O440">
        <v>7</v>
      </c>
      <c r="P440">
        <v>12</v>
      </c>
      <c r="Q440" t="str">
        <f t="shared" si="31"/>
        <v>TONY FRENCH</v>
      </c>
      <c r="R440" t="str">
        <f t="shared" si="32"/>
        <v>south korea</v>
      </c>
      <c r="S440" t="str">
        <f>PROPER(global_freelancer_raw[[#This Row],[NAME UPPER]])</f>
        <v>Tony French</v>
      </c>
      <c r="T440" t="str">
        <f t="shared" si="33"/>
        <v>So</v>
      </c>
      <c r="U440" t="str">
        <f t="shared" si="30"/>
        <v xml:space="preserve"> Frenc</v>
      </c>
      <c r="V440" t="str">
        <f t="shared" si="34"/>
        <v>39</v>
      </c>
    </row>
    <row r="441" spans="1:22" x14ac:dyDescent="0.3">
      <c r="A441" s="1" t="s">
        <v>970</v>
      </c>
      <c r="B441" s="1" t="s">
        <v>971</v>
      </c>
      <c r="C441" s="1" t="s">
        <v>39</v>
      </c>
      <c r="D441">
        <v>26</v>
      </c>
      <c r="E441" s="1" t="s">
        <v>17</v>
      </c>
      <c r="F441" s="1" t="s">
        <v>18</v>
      </c>
      <c r="G441" s="1" t="s">
        <v>98</v>
      </c>
      <c r="H441">
        <v>7</v>
      </c>
      <c r="I441" t="s">
        <v>28</v>
      </c>
      <c r="J441">
        <v>3.3</v>
      </c>
      <c r="K441" t="s">
        <v>76</v>
      </c>
      <c r="L441">
        <v>0.66</v>
      </c>
      <c r="M441" s="1" t="s">
        <v>51</v>
      </c>
      <c r="N441" s="1" t="s">
        <v>29</v>
      </c>
      <c r="O441">
        <v>14</v>
      </c>
      <c r="P441">
        <v>9</v>
      </c>
      <c r="Q441" t="str">
        <f t="shared" si="31"/>
        <v>STACY HUDSON</v>
      </c>
      <c r="R441" t="str">
        <f t="shared" si="32"/>
        <v>italy</v>
      </c>
      <c r="S441" t="str">
        <f>PROPER(global_freelancer_raw[[#This Row],[NAME UPPER]])</f>
        <v>Stacy Hudson</v>
      </c>
      <c r="T441" t="str">
        <f t="shared" si="33"/>
        <v>It</v>
      </c>
      <c r="U441" t="str">
        <f t="shared" si="30"/>
        <v>y Huds</v>
      </c>
      <c r="V441" t="str">
        <f t="shared" si="34"/>
        <v>40</v>
      </c>
    </row>
    <row r="442" spans="1:22" x14ac:dyDescent="0.3">
      <c r="A442" s="1" t="s">
        <v>972</v>
      </c>
      <c r="B442" s="1" t="s">
        <v>973</v>
      </c>
      <c r="C442" s="1" t="s">
        <v>106</v>
      </c>
      <c r="D442">
        <v>34</v>
      </c>
      <c r="E442" s="1" t="s">
        <v>80</v>
      </c>
      <c r="F442" s="1" t="s">
        <v>81</v>
      </c>
      <c r="G442" s="1" t="s">
        <v>27</v>
      </c>
      <c r="H442">
        <v>15</v>
      </c>
      <c r="I442">
        <v>75</v>
      </c>
      <c r="K442">
        <v>0</v>
      </c>
      <c r="L442">
        <v>0.73</v>
      </c>
      <c r="M442" s="1" t="s">
        <v>72</v>
      </c>
      <c r="N442" s="1" t="s">
        <v>21</v>
      </c>
      <c r="O442">
        <v>14</v>
      </c>
      <c r="P442">
        <v>8</v>
      </c>
      <c r="Q442" t="str">
        <f t="shared" si="31"/>
        <v>SCOTT WASHINGTON</v>
      </c>
      <c r="R442" t="str">
        <f t="shared" si="32"/>
        <v>argentina</v>
      </c>
      <c r="S442" t="str">
        <f>PROPER(global_freelancer_raw[[#This Row],[NAME UPPER]])</f>
        <v>Scott Washington</v>
      </c>
      <c r="T442" t="str">
        <f t="shared" si="33"/>
        <v>Ar</v>
      </c>
      <c r="U442" t="str">
        <f t="shared" si="30"/>
        <v>t Wash</v>
      </c>
      <c r="V442" t="str">
        <f t="shared" si="34"/>
        <v>41</v>
      </c>
    </row>
    <row r="443" spans="1:22" x14ac:dyDescent="0.3">
      <c r="A443" s="1" t="s">
        <v>974</v>
      </c>
      <c r="B443" s="1" t="s">
        <v>975</v>
      </c>
      <c r="C443" s="1" t="s">
        <v>106</v>
      </c>
      <c r="D443">
        <v>43</v>
      </c>
      <c r="E443" s="1" t="s">
        <v>94</v>
      </c>
      <c r="F443" s="1" t="s">
        <v>95</v>
      </c>
      <c r="G443" s="1" t="s">
        <v>49</v>
      </c>
      <c r="I443" t="s">
        <v>323</v>
      </c>
      <c r="J443">
        <v>2.8</v>
      </c>
      <c r="L443">
        <v>0.99</v>
      </c>
      <c r="M443" s="1" t="s">
        <v>77</v>
      </c>
      <c r="N443" s="1" t="s">
        <v>36</v>
      </c>
      <c r="O443">
        <v>4</v>
      </c>
      <c r="P443">
        <v>1</v>
      </c>
      <c r="Q443" t="str">
        <f t="shared" si="31"/>
        <v>TIMOTHY WRIGHT</v>
      </c>
      <c r="R443" t="str">
        <f t="shared" si="32"/>
        <v>japan</v>
      </c>
      <c r="S443" t="str">
        <f>PROPER(global_freelancer_raw[[#This Row],[NAME UPPER]])</f>
        <v>Timothy Wright</v>
      </c>
      <c r="T443" t="str">
        <f t="shared" si="33"/>
        <v>Ja</v>
      </c>
      <c r="U443" t="str">
        <f t="shared" si="30"/>
        <v>thy Wr</v>
      </c>
      <c r="V443" t="str">
        <f t="shared" si="34"/>
        <v>42</v>
      </c>
    </row>
    <row r="444" spans="1:22" x14ac:dyDescent="0.3">
      <c r="A444" s="1" t="s">
        <v>976</v>
      </c>
      <c r="B444" s="1" t="s">
        <v>977</v>
      </c>
      <c r="C444" s="1" t="s">
        <v>101</v>
      </c>
      <c r="D444">
        <v>31</v>
      </c>
      <c r="E444" s="1" t="s">
        <v>184</v>
      </c>
      <c r="F444" s="1" t="s">
        <v>185</v>
      </c>
      <c r="G444" s="1" t="s">
        <v>34</v>
      </c>
      <c r="H444">
        <v>5</v>
      </c>
      <c r="J444">
        <v>2.7</v>
      </c>
      <c r="K444">
        <v>1</v>
      </c>
      <c r="L444">
        <v>94</v>
      </c>
      <c r="M444" s="1" t="s">
        <v>51</v>
      </c>
      <c r="N444" s="1" t="s">
        <v>29</v>
      </c>
      <c r="O444">
        <v>4</v>
      </c>
      <c r="P444">
        <v>1</v>
      </c>
      <c r="Q444" t="str">
        <f t="shared" si="31"/>
        <v>JOSEPH GONZALEZ</v>
      </c>
      <c r="R444" t="str">
        <f t="shared" si="32"/>
        <v>china</v>
      </c>
      <c r="S444" t="str">
        <f>PROPER(global_freelancer_raw[[#This Row],[NAME UPPER]])</f>
        <v>Joseph Gonzalez</v>
      </c>
      <c r="T444" t="str">
        <f t="shared" si="33"/>
        <v>Ch</v>
      </c>
      <c r="U444" t="str">
        <f t="shared" si="30"/>
        <v>ph Gon</v>
      </c>
      <c r="V444" t="str">
        <f t="shared" si="34"/>
        <v>43</v>
      </c>
    </row>
    <row r="445" spans="1:22" x14ac:dyDescent="0.3">
      <c r="A445" s="1" t="s">
        <v>978</v>
      </c>
      <c r="B445" s="1" t="s">
        <v>979</v>
      </c>
      <c r="C445" s="1" t="s">
        <v>24</v>
      </c>
      <c r="D445">
        <v>34</v>
      </c>
      <c r="E445" s="1" t="s">
        <v>184</v>
      </c>
      <c r="F445" s="1" t="s">
        <v>185</v>
      </c>
      <c r="G445" s="1" t="s">
        <v>19</v>
      </c>
      <c r="I445" t="s">
        <v>71</v>
      </c>
      <c r="J445">
        <v>0</v>
      </c>
      <c r="K445" t="b">
        <v>0</v>
      </c>
      <c r="L445">
        <v>84</v>
      </c>
      <c r="M445" s="1" t="s">
        <v>77</v>
      </c>
      <c r="N445" s="1" t="s">
        <v>21</v>
      </c>
      <c r="O445">
        <v>5</v>
      </c>
      <c r="P445">
        <v>1</v>
      </c>
      <c r="Q445" t="str">
        <f t="shared" si="31"/>
        <v>ANDREA PEREZ</v>
      </c>
      <c r="R445" t="str">
        <f t="shared" si="32"/>
        <v>china</v>
      </c>
      <c r="S445" t="str">
        <f>PROPER(global_freelancer_raw[[#This Row],[NAME UPPER]])</f>
        <v>Andrea Perez</v>
      </c>
      <c r="T445" t="str">
        <f t="shared" si="33"/>
        <v>Ch</v>
      </c>
      <c r="U445" t="str">
        <f t="shared" si="30"/>
        <v>ea Per</v>
      </c>
      <c r="V445" t="str">
        <f t="shared" si="34"/>
        <v>44</v>
      </c>
    </row>
    <row r="446" spans="1:22" x14ac:dyDescent="0.3">
      <c r="A446" s="1" t="s">
        <v>980</v>
      </c>
      <c r="B446" s="1" t="s">
        <v>981</v>
      </c>
      <c r="C446" s="1" t="s">
        <v>39</v>
      </c>
      <c r="D446">
        <v>32</v>
      </c>
      <c r="E446" s="1" t="s">
        <v>133</v>
      </c>
      <c r="F446" s="1" t="s">
        <v>134</v>
      </c>
      <c r="G446" s="1" t="s">
        <v>87</v>
      </c>
      <c r="H446">
        <v>10</v>
      </c>
      <c r="I446" t="s">
        <v>130</v>
      </c>
      <c r="K446" t="s">
        <v>83</v>
      </c>
      <c r="L446">
        <v>0.92</v>
      </c>
      <c r="M446" s="1" t="s">
        <v>77</v>
      </c>
      <c r="N446" s="1" t="s">
        <v>36</v>
      </c>
      <c r="O446">
        <v>12</v>
      </c>
      <c r="P446">
        <v>4</v>
      </c>
      <c r="Q446" t="str">
        <f t="shared" si="31"/>
        <v>ANGEL COLLINS</v>
      </c>
      <c r="R446" t="str">
        <f t="shared" si="32"/>
        <v>russia</v>
      </c>
      <c r="S446" t="str">
        <f>PROPER(global_freelancer_raw[[#This Row],[NAME UPPER]])</f>
        <v>Angel Collins</v>
      </c>
      <c r="T446" t="str">
        <f t="shared" si="33"/>
        <v>Ru</v>
      </c>
      <c r="U446" t="str">
        <f t="shared" si="30"/>
        <v>l Coll</v>
      </c>
      <c r="V446" t="str">
        <f t="shared" si="34"/>
        <v>45</v>
      </c>
    </row>
    <row r="447" spans="1:22" x14ac:dyDescent="0.3">
      <c r="A447" s="1" t="s">
        <v>982</v>
      </c>
      <c r="B447" s="1" t="s">
        <v>983</v>
      </c>
      <c r="C447" s="1" t="s">
        <v>54</v>
      </c>
      <c r="D447">
        <v>24</v>
      </c>
      <c r="E447" s="1" t="s">
        <v>148</v>
      </c>
      <c r="F447" s="1" t="s">
        <v>149</v>
      </c>
      <c r="G447" s="1" t="s">
        <v>98</v>
      </c>
      <c r="H447">
        <v>6</v>
      </c>
      <c r="I447" t="s">
        <v>179</v>
      </c>
      <c r="J447">
        <v>4.3</v>
      </c>
      <c r="K447" t="s">
        <v>76</v>
      </c>
      <c r="M447" s="1" t="s">
        <v>72</v>
      </c>
      <c r="N447" s="1" t="s">
        <v>29</v>
      </c>
      <c r="O447">
        <v>14</v>
      </c>
      <c r="P447">
        <v>4</v>
      </c>
      <c r="Q447" t="str">
        <f t="shared" si="31"/>
        <v>DANIEL TERRY</v>
      </c>
      <c r="R447" t="str">
        <f t="shared" si="32"/>
        <v>egypt</v>
      </c>
      <c r="S447" t="str">
        <f>PROPER(global_freelancer_raw[[#This Row],[NAME UPPER]])</f>
        <v>Daniel Terry</v>
      </c>
      <c r="T447" t="str">
        <f t="shared" si="33"/>
        <v>Eg</v>
      </c>
      <c r="U447" t="str">
        <f t="shared" si="30"/>
        <v>el Ter</v>
      </c>
      <c r="V447" t="str">
        <f t="shared" si="34"/>
        <v>46</v>
      </c>
    </row>
    <row r="448" spans="1:22" x14ac:dyDescent="0.3">
      <c r="A448" s="1" t="s">
        <v>984</v>
      </c>
      <c r="B448" s="1" t="s">
        <v>985</v>
      </c>
      <c r="C448" s="1" t="s">
        <v>32</v>
      </c>
      <c r="D448">
        <v>35</v>
      </c>
      <c r="E448" s="1" t="s">
        <v>75</v>
      </c>
      <c r="F448" s="1" t="s">
        <v>26</v>
      </c>
      <c r="G448" s="1" t="s">
        <v>49</v>
      </c>
      <c r="H448">
        <v>8</v>
      </c>
      <c r="I448" t="s">
        <v>107</v>
      </c>
      <c r="K448" t="s">
        <v>168</v>
      </c>
      <c r="L448">
        <v>90</v>
      </c>
      <c r="M448" s="1" t="s">
        <v>77</v>
      </c>
      <c r="N448" s="1" t="s">
        <v>21</v>
      </c>
      <c r="O448">
        <v>6</v>
      </c>
      <c r="P448">
        <v>5</v>
      </c>
      <c r="Q448" t="str">
        <f t="shared" si="31"/>
        <v>STEVEN WHITAKER</v>
      </c>
      <c r="R448" t="str">
        <f t="shared" si="32"/>
        <v>uk</v>
      </c>
      <c r="S448" t="str">
        <f>PROPER(global_freelancer_raw[[#This Row],[NAME UPPER]])</f>
        <v>Steven Whitaker</v>
      </c>
      <c r="T448" t="str">
        <f t="shared" si="33"/>
        <v>UK</v>
      </c>
      <c r="U448" t="str">
        <f t="shared" si="30"/>
        <v>en Whi</v>
      </c>
      <c r="V448" t="str">
        <f t="shared" si="34"/>
        <v>47</v>
      </c>
    </row>
    <row r="449" spans="1:22" x14ac:dyDescent="0.3">
      <c r="A449" s="1" t="s">
        <v>986</v>
      </c>
      <c r="B449" s="1" t="s">
        <v>987</v>
      </c>
      <c r="C449" s="1" t="s">
        <v>24</v>
      </c>
      <c r="D449">
        <v>22</v>
      </c>
      <c r="E449" s="1" t="s">
        <v>25</v>
      </c>
      <c r="F449" s="1" t="s">
        <v>26</v>
      </c>
      <c r="G449" s="1" t="s">
        <v>27</v>
      </c>
      <c r="H449">
        <v>4</v>
      </c>
      <c r="I449">
        <v>20</v>
      </c>
      <c r="K449">
        <v>0</v>
      </c>
      <c r="L449">
        <v>0.73</v>
      </c>
      <c r="M449" s="1" t="s">
        <v>72</v>
      </c>
      <c r="N449" s="1" t="s">
        <v>21</v>
      </c>
      <c r="O449">
        <v>1</v>
      </c>
      <c r="P449">
        <v>1</v>
      </c>
      <c r="Q449" t="str">
        <f t="shared" si="31"/>
        <v>DENISE NEAL</v>
      </c>
      <c r="R449" t="str">
        <f t="shared" si="32"/>
        <v>australia</v>
      </c>
      <c r="S449" t="str">
        <f>PROPER(global_freelancer_raw[[#This Row],[NAME UPPER]])</f>
        <v>Denise Neal</v>
      </c>
      <c r="T449" t="str">
        <f t="shared" si="33"/>
        <v>Au</v>
      </c>
      <c r="U449" t="str">
        <f t="shared" si="30"/>
        <v>se Nea</v>
      </c>
      <c r="V449" t="str">
        <f t="shared" si="34"/>
        <v>48</v>
      </c>
    </row>
    <row r="450" spans="1:22" x14ac:dyDescent="0.3">
      <c r="A450" s="1" t="s">
        <v>988</v>
      </c>
      <c r="B450" s="1" t="s">
        <v>989</v>
      </c>
      <c r="C450" s="1" t="s">
        <v>39</v>
      </c>
      <c r="D450">
        <v>55</v>
      </c>
      <c r="E450" s="1" t="s">
        <v>148</v>
      </c>
      <c r="F450" s="1" t="s">
        <v>149</v>
      </c>
      <c r="G450" s="1" t="s">
        <v>49</v>
      </c>
      <c r="H450">
        <v>3</v>
      </c>
      <c r="I450">
        <v>100</v>
      </c>
      <c r="K450">
        <v>1</v>
      </c>
      <c r="L450">
        <v>0.73</v>
      </c>
      <c r="M450" s="1" t="s">
        <v>51</v>
      </c>
      <c r="N450" s="1" t="s">
        <v>21</v>
      </c>
      <c r="O450">
        <v>1</v>
      </c>
      <c r="P450">
        <v>2</v>
      </c>
      <c r="Q450" t="str">
        <f t="shared" si="31"/>
        <v>AMANDA JACOBS</v>
      </c>
      <c r="R450" t="str">
        <f t="shared" si="32"/>
        <v>egypt</v>
      </c>
      <c r="S450" t="str">
        <f>PROPER(global_freelancer_raw[[#This Row],[NAME UPPER]])</f>
        <v>Amanda Jacobs</v>
      </c>
      <c r="T450" t="str">
        <f t="shared" si="33"/>
        <v>Eg</v>
      </c>
      <c r="U450" t="str">
        <f t="shared" ref="U450:U513" si="35">MID(B450,5,6)</f>
        <v>da Jac</v>
      </c>
      <c r="V450" t="str">
        <f t="shared" si="34"/>
        <v>49</v>
      </c>
    </row>
    <row r="451" spans="1:22" x14ac:dyDescent="0.3">
      <c r="A451" s="1" t="s">
        <v>990</v>
      </c>
      <c r="B451" s="1" t="s">
        <v>991</v>
      </c>
      <c r="C451" s="1" t="s">
        <v>44</v>
      </c>
      <c r="D451">
        <v>54</v>
      </c>
      <c r="E451" s="1" t="s">
        <v>80</v>
      </c>
      <c r="F451" s="1" t="s">
        <v>81</v>
      </c>
      <c r="G451" s="1" t="s">
        <v>123</v>
      </c>
      <c r="I451">
        <v>30</v>
      </c>
      <c r="J451">
        <v>2.9</v>
      </c>
      <c r="K451" t="b">
        <v>1</v>
      </c>
      <c r="L451">
        <v>0.78</v>
      </c>
      <c r="M451" s="1" t="s">
        <v>72</v>
      </c>
      <c r="N451" s="1" t="s">
        <v>29</v>
      </c>
      <c r="O451">
        <v>3</v>
      </c>
      <c r="P451">
        <v>3</v>
      </c>
      <c r="Q451" t="str">
        <f t="shared" ref="Q451:Q514" si="36">UPPER(B451)</f>
        <v>KAREN MERCER</v>
      </c>
      <c r="R451" t="str">
        <f t="shared" ref="R451:R514" si="37">LOWER(E451)</f>
        <v>argentina</v>
      </c>
      <c r="S451" t="str">
        <f>PROPER(global_freelancer_raw[[#This Row],[NAME UPPER]])</f>
        <v>Karen Mercer</v>
      </c>
      <c r="T451" t="str">
        <f t="shared" ref="T451:T514" si="38">LEFT(E451,"2")</f>
        <v>Ar</v>
      </c>
      <c r="U451" t="str">
        <f t="shared" si="35"/>
        <v>n Merc</v>
      </c>
      <c r="V451" t="str">
        <f t="shared" ref="V451:V514" si="39">RIGHT(A451,"2")</f>
        <v>50</v>
      </c>
    </row>
    <row r="452" spans="1:22" x14ac:dyDescent="0.3">
      <c r="A452" s="1" t="s">
        <v>992</v>
      </c>
      <c r="B452" s="1" t="s">
        <v>993</v>
      </c>
      <c r="C452" s="1" t="s">
        <v>16</v>
      </c>
      <c r="D452">
        <v>36</v>
      </c>
      <c r="E452" s="1" t="s">
        <v>47</v>
      </c>
      <c r="F452" s="1" t="s">
        <v>48</v>
      </c>
      <c r="G452" s="1" t="s">
        <v>87</v>
      </c>
      <c r="H452">
        <v>11</v>
      </c>
      <c r="I452" t="s">
        <v>50</v>
      </c>
      <c r="J452">
        <v>0</v>
      </c>
      <c r="K452" t="b">
        <v>1</v>
      </c>
      <c r="L452">
        <v>0.63</v>
      </c>
      <c r="M452" s="1" t="s">
        <v>51</v>
      </c>
      <c r="N452" s="1" t="s">
        <v>36</v>
      </c>
      <c r="O452">
        <v>9</v>
      </c>
      <c r="P452">
        <v>14</v>
      </c>
      <c r="Q452" t="str">
        <f t="shared" si="36"/>
        <v>LINDSAY HUDSON</v>
      </c>
      <c r="R452" t="str">
        <f t="shared" si="37"/>
        <v>netherlands</v>
      </c>
      <c r="S452" t="str">
        <f>PROPER(global_freelancer_raw[[#This Row],[NAME UPPER]])</f>
        <v>Lindsay Hudson</v>
      </c>
      <c r="T452" t="str">
        <f t="shared" si="38"/>
        <v>Ne</v>
      </c>
      <c r="U452" t="str">
        <f t="shared" si="35"/>
        <v>say Hu</v>
      </c>
      <c r="V452" t="str">
        <f t="shared" si="39"/>
        <v>51</v>
      </c>
    </row>
    <row r="453" spans="1:22" x14ac:dyDescent="0.3">
      <c r="A453" s="1" t="s">
        <v>994</v>
      </c>
      <c r="B453" s="1" t="s">
        <v>995</v>
      </c>
      <c r="C453" s="1" t="s">
        <v>44</v>
      </c>
      <c r="D453">
        <v>36</v>
      </c>
      <c r="E453" s="1" t="s">
        <v>47</v>
      </c>
      <c r="F453" s="1" t="s">
        <v>48</v>
      </c>
      <c r="G453" s="1" t="s">
        <v>49</v>
      </c>
      <c r="H453">
        <v>17</v>
      </c>
      <c r="I453">
        <v>50</v>
      </c>
      <c r="J453">
        <v>1.3</v>
      </c>
      <c r="L453">
        <v>0.64</v>
      </c>
      <c r="M453" s="1" t="s">
        <v>72</v>
      </c>
      <c r="N453" s="1" t="s">
        <v>36</v>
      </c>
      <c r="O453">
        <v>18</v>
      </c>
      <c r="P453">
        <v>7</v>
      </c>
      <c r="Q453" t="str">
        <f t="shared" si="36"/>
        <v>STEPHANIE ARMSTRONG</v>
      </c>
      <c r="R453" t="str">
        <f t="shared" si="37"/>
        <v>netherlands</v>
      </c>
      <c r="S453" t="str">
        <f>PROPER(global_freelancer_raw[[#This Row],[NAME UPPER]])</f>
        <v>Stephanie Armstrong</v>
      </c>
      <c r="T453" t="str">
        <f t="shared" si="38"/>
        <v>Ne</v>
      </c>
      <c r="U453" t="str">
        <f t="shared" si="35"/>
        <v xml:space="preserve">hanie </v>
      </c>
      <c r="V453" t="str">
        <f t="shared" si="39"/>
        <v>52</v>
      </c>
    </row>
    <row r="454" spans="1:22" x14ac:dyDescent="0.3">
      <c r="A454" s="1" t="s">
        <v>996</v>
      </c>
      <c r="B454" s="1" t="s">
        <v>997</v>
      </c>
      <c r="C454" s="1" t="s">
        <v>16</v>
      </c>
      <c r="D454">
        <v>25</v>
      </c>
      <c r="E454" s="1" t="s">
        <v>80</v>
      </c>
      <c r="F454" s="1" t="s">
        <v>81</v>
      </c>
      <c r="G454" s="1" t="s">
        <v>40</v>
      </c>
      <c r="H454">
        <v>1</v>
      </c>
      <c r="I454">
        <v>75</v>
      </c>
      <c r="J454">
        <v>0</v>
      </c>
      <c r="K454">
        <v>1</v>
      </c>
      <c r="M454" s="1" t="s">
        <v>20</v>
      </c>
      <c r="N454" s="1" t="s">
        <v>65</v>
      </c>
      <c r="O454">
        <v>2</v>
      </c>
      <c r="P454">
        <v>3</v>
      </c>
      <c r="Q454" t="str">
        <f t="shared" si="36"/>
        <v>DR. JESSICA CAMPBELL</v>
      </c>
      <c r="R454" t="str">
        <f t="shared" si="37"/>
        <v>argentina</v>
      </c>
      <c r="S454" t="str">
        <f>PROPER(global_freelancer_raw[[#This Row],[NAME UPPER]])</f>
        <v>Dr. Jessica Campbell</v>
      </c>
      <c r="T454" t="str">
        <f t="shared" si="38"/>
        <v>Ar</v>
      </c>
      <c r="U454" t="str">
        <f t="shared" si="35"/>
        <v>Jessic</v>
      </c>
      <c r="V454" t="str">
        <f t="shared" si="39"/>
        <v>53</v>
      </c>
    </row>
    <row r="455" spans="1:22" x14ac:dyDescent="0.3">
      <c r="A455" s="1" t="s">
        <v>998</v>
      </c>
      <c r="B455" s="1" t="s">
        <v>999</v>
      </c>
      <c r="C455" s="1" t="s">
        <v>106</v>
      </c>
      <c r="D455">
        <v>46</v>
      </c>
      <c r="E455" s="1" t="s">
        <v>55</v>
      </c>
      <c r="F455" s="1" t="s">
        <v>56</v>
      </c>
      <c r="G455" s="1" t="s">
        <v>49</v>
      </c>
      <c r="H455">
        <v>16</v>
      </c>
      <c r="I455">
        <v>20</v>
      </c>
      <c r="J455">
        <v>4.8</v>
      </c>
      <c r="K455">
        <v>1</v>
      </c>
      <c r="L455">
        <v>0.86</v>
      </c>
      <c r="M455" s="1" t="s">
        <v>20</v>
      </c>
      <c r="N455" s="1" t="s">
        <v>21</v>
      </c>
      <c r="O455">
        <v>12</v>
      </c>
      <c r="P455">
        <v>8</v>
      </c>
      <c r="Q455" t="str">
        <f t="shared" si="36"/>
        <v>CURTIS MAXWELL</v>
      </c>
      <c r="R455" t="str">
        <f t="shared" si="37"/>
        <v>indonesia</v>
      </c>
      <c r="S455" t="str">
        <f>PROPER(global_freelancer_raw[[#This Row],[NAME UPPER]])</f>
        <v>Curtis Maxwell</v>
      </c>
      <c r="T455" t="str">
        <f t="shared" si="38"/>
        <v>In</v>
      </c>
      <c r="U455" t="str">
        <f t="shared" si="35"/>
        <v>is Max</v>
      </c>
      <c r="V455" t="str">
        <f t="shared" si="39"/>
        <v>54</v>
      </c>
    </row>
    <row r="456" spans="1:22" x14ac:dyDescent="0.3">
      <c r="A456" s="1" t="s">
        <v>1000</v>
      </c>
      <c r="B456" s="1" t="s">
        <v>1001</v>
      </c>
      <c r="C456" s="1" t="s">
        <v>101</v>
      </c>
      <c r="D456">
        <v>41</v>
      </c>
      <c r="E456" s="1" t="s">
        <v>80</v>
      </c>
      <c r="F456" s="1" t="s">
        <v>81</v>
      </c>
      <c r="G456" s="1" t="s">
        <v>123</v>
      </c>
      <c r="H456">
        <v>11</v>
      </c>
      <c r="I456" t="s">
        <v>41</v>
      </c>
      <c r="J456">
        <v>2.4</v>
      </c>
      <c r="K456" t="b">
        <v>0</v>
      </c>
      <c r="M456" s="1" t="s">
        <v>77</v>
      </c>
      <c r="N456" s="1" t="s">
        <v>65</v>
      </c>
      <c r="O456">
        <v>9</v>
      </c>
      <c r="P456">
        <v>2</v>
      </c>
      <c r="Q456" t="str">
        <f t="shared" si="36"/>
        <v>ADAM KELLY PHD</v>
      </c>
      <c r="R456" t="str">
        <f t="shared" si="37"/>
        <v>argentina</v>
      </c>
      <c r="S456" t="str">
        <f>PROPER(global_freelancer_raw[[#This Row],[NAME UPPER]])</f>
        <v>Adam Kelly Phd</v>
      </c>
      <c r="T456" t="str">
        <f t="shared" si="38"/>
        <v>Ar</v>
      </c>
      <c r="U456" t="str">
        <f t="shared" si="35"/>
        <v xml:space="preserve"> Kelly</v>
      </c>
      <c r="V456" t="str">
        <f t="shared" si="39"/>
        <v>55</v>
      </c>
    </row>
    <row r="457" spans="1:22" x14ac:dyDescent="0.3">
      <c r="A457" s="1" t="s">
        <v>1002</v>
      </c>
      <c r="B457" s="1" t="s">
        <v>1003</v>
      </c>
      <c r="C457" s="1" t="s">
        <v>24</v>
      </c>
      <c r="D457">
        <v>21</v>
      </c>
      <c r="E457" s="1" t="s">
        <v>133</v>
      </c>
      <c r="F457" s="1" t="s">
        <v>134</v>
      </c>
      <c r="G457" s="1" t="s">
        <v>27</v>
      </c>
      <c r="H457">
        <v>3</v>
      </c>
      <c r="I457" t="s">
        <v>238</v>
      </c>
      <c r="J457">
        <v>4.7</v>
      </c>
      <c r="K457" t="s">
        <v>35</v>
      </c>
      <c r="L457">
        <v>0.96</v>
      </c>
      <c r="M457" s="1" t="s">
        <v>72</v>
      </c>
      <c r="N457" s="1" t="s">
        <v>65</v>
      </c>
      <c r="O457">
        <v>2</v>
      </c>
      <c r="P457">
        <v>1</v>
      </c>
      <c r="Q457" t="str">
        <f t="shared" si="36"/>
        <v>JULIE BECKER</v>
      </c>
      <c r="R457" t="str">
        <f t="shared" si="37"/>
        <v>russia</v>
      </c>
      <c r="S457" t="str">
        <f>PROPER(global_freelancer_raw[[#This Row],[NAME UPPER]])</f>
        <v>Julie Becker</v>
      </c>
      <c r="T457" t="str">
        <f t="shared" si="38"/>
        <v>Ru</v>
      </c>
      <c r="U457" t="str">
        <f t="shared" si="35"/>
        <v>e Beck</v>
      </c>
      <c r="V457" t="str">
        <f t="shared" si="39"/>
        <v>56</v>
      </c>
    </row>
    <row r="458" spans="1:22" x14ac:dyDescent="0.3">
      <c r="A458" s="1" t="s">
        <v>1004</v>
      </c>
      <c r="B458" s="1" t="s">
        <v>1005</v>
      </c>
      <c r="C458" s="1" t="s">
        <v>106</v>
      </c>
      <c r="D458">
        <v>29</v>
      </c>
      <c r="E458" s="1" t="s">
        <v>64</v>
      </c>
      <c r="F458" s="1" t="s">
        <v>26</v>
      </c>
      <c r="G458" s="1" t="s">
        <v>34</v>
      </c>
      <c r="I458" t="s">
        <v>179</v>
      </c>
      <c r="J458">
        <v>2</v>
      </c>
      <c r="K458">
        <v>0</v>
      </c>
      <c r="M458" s="1" t="s">
        <v>72</v>
      </c>
      <c r="N458" s="1" t="s">
        <v>36</v>
      </c>
      <c r="O458">
        <v>4</v>
      </c>
      <c r="P458">
        <v>3</v>
      </c>
      <c r="Q458" t="str">
        <f t="shared" si="36"/>
        <v>JAMES MOORE</v>
      </c>
      <c r="R458" t="str">
        <f t="shared" si="37"/>
        <v>us</v>
      </c>
      <c r="S458" t="str">
        <f>PROPER(global_freelancer_raw[[#This Row],[NAME UPPER]])</f>
        <v>James Moore</v>
      </c>
      <c r="T458" t="str">
        <f t="shared" si="38"/>
        <v>US</v>
      </c>
      <c r="U458" t="str">
        <f t="shared" si="35"/>
        <v>s Moor</v>
      </c>
      <c r="V458" t="str">
        <f t="shared" si="39"/>
        <v>57</v>
      </c>
    </row>
    <row r="459" spans="1:22" x14ac:dyDescent="0.3">
      <c r="A459" s="1" t="s">
        <v>1006</v>
      </c>
      <c r="B459" s="1" t="s">
        <v>1007</v>
      </c>
      <c r="C459" s="1" t="s">
        <v>39</v>
      </c>
      <c r="D459">
        <v>44</v>
      </c>
      <c r="E459" s="1" t="s">
        <v>64</v>
      </c>
      <c r="F459" s="1" t="s">
        <v>26</v>
      </c>
      <c r="G459" s="1" t="s">
        <v>27</v>
      </c>
      <c r="H459">
        <v>3</v>
      </c>
      <c r="I459" t="s">
        <v>71</v>
      </c>
      <c r="J459">
        <v>2.2000000000000002</v>
      </c>
      <c r="K459">
        <v>0</v>
      </c>
      <c r="L459">
        <v>0.77</v>
      </c>
      <c r="M459" s="1" t="s">
        <v>51</v>
      </c>
      <c r="N459" s="1" t="s">
        <v>29</v>
      </c>
      <c r="O459">
        <v>4</v>
      </c>
      <c r="P459">
        <v>1</v>
      </c>
      <c r="Q459" t="str">
        <f t="shared" si="36"/>
        <v>DANIELLE BARRERA</v>
      </c>
      <c r="R459" t="str">
        <f t="shared" si="37"/>
        <v>us</v>
      </c>
      <c r="S459" t="str">
        <f>PROPER(global_freelancer_raw[[#This Row],[NAME UPPER]])</f>
        <v>Danielle Barrera</v>
      </c>
      <c r="T459" t="str">
        <f t="shared" si="38"/>
        <v>US</v>
      </c>
      <c r="U459" t="str">
        <f t="shared" si="35"/>
        <v>elle B</v>
      </c>
      <c r="V459" t="str">
        <f t="shared" si="39"/>
        <v>58</v>
      </c>
    </row>
    <row r="460" spans="1:22" x14ac:dyDescent="0.3">
      <c r="A460" s="1" t="s">
        <v>1008</v>
      </c>
      <c r="B460" s="1" t="s">
        <v>1009</v>
      </c>
      <c r="C460" s="1" t="s">
        <v>106</v>
      </c>
      <c r="D460">
        <v>40</v>
      </c>
      <c r="E460" s="1" t="s">
        <v>137</v>
      </c>
      <c r="F460" s="1" t="s">
        <v>26</v>
      </c>
      <c r="G460" s="1" t="s">
        <v>123</v>
      </c>
      <c r="H460">
        <v>1</v>
      </c>
      <c r="I460">
        <v>100</v>
      </c>
      <c r="J460">
        <v>2.1</v>
      </c>
      <c r="K460">
        <v>1</v>
      </c>
      <c r="M460" s="1" t="s">
        <v>77</v>
      </c>
      <c r="N460" s="1" t="s">
        <v>29</v>
      </c>
      <c r="O460">
        <v>4</v>
      </c>
      <c r="P460">
        <v>1</v>
      </c>
      <c r="Q460" t="str">
        <f t="shared" si="36"/>
        <v>DAVID SANCHEZ</v>
      </c>
      <c r="R460" t="str">
        <f t="shared" si="37"/>
        <v>canada</v>
      </c>
      <c r="S460" t="str">
        <f>PROPER(global_freelancer_raw[[#This Row],[NAME UPPER]])</f>
        <v>David Sanchez</v>
      </c>
      <c r="T460" t="str">
        <f t="shared" si="38"/>
        <v>Ca</v>
      </c>
      <c r="U460" t="str">
        <f t="shared" si="35"/>
        <v>d Sanc</v>
      </c>
      <c r="V460" t="str">
        <f t="shared" si="39"/>
        <v>59</v>
      </c>
    </row>
    <row r="461" spans="1:22" x14ac:dyDescent="0.3">
      <c r="A461" s="1" t="s">
        <v>1010</v>
      </c>
      <c r="B461" s="1" t="s">
        <v>1011</v>
      </c>
      <c r="C461" s="1" t="s">
        <v>44</v>
      </c>
      <c r="D461">
        <v>27</v>
      </c>
      <c r="E461" s="1" t="s">
        <v>148</v>
      </c>
      <c r="F461" s="1" t="s">
        <v>149</v>
      </c>
      <c r="G461" s="1" t="s">
        <v>57</v>
      </c>
      <c r="H461">
        <v>1</v>
      </c>
      <c r="I461">
        <v>30</v>
      </c>
      <c r="J461">
        <v>1.7</v>
      </c>
      <c r="K461" t="b">
        <v>0</v>
      </c>
      <c r="L461">
        <v>0.65</v>
      </c>
      <c r="M461" s="1" t="s">
        <v>72</v>
      </c>
      <c r="N461" s="1" t="s">
        <v>36</v>
      </c>
      <c r="O461">
        <v>5</v>
      </c>
      <c r="P461">
        <v>4</v>
      </c>
      <c r="Q461" t="str">
        <f t="shared" si="36"/>
        <v>TIFFANY BOWMAN</v>
      </c>
      <c r="R461" t="str">
        <f t="shared" si="37"/>
        <v>egypt</v>
      </c>
      <c r="S461" t="str">
        <f>PROPER(global_freelancer_raw[[#This Row],[NAME UPPER]])</f>
        <v>Tiffany Bowman</v>
      </c>
      <c r="T461" t="str">
        <f t="shared" si="38"/>
        <v>Eg</v>
      </c>
      <c r="U461" t="str">
        <f t="shared" si="35"/>
        <v>any Bo</v>
      </c>
      <c r="V461" t="str">
        <f t="shared" si="39"/>
        <v>60</v>
      </c>
    </row>
    <row r="462" spans="1:22" x14ac:dyDescent="0.3">
      <c r="A462" s="1" t="s">
        <v>1012</v>
      </c>
      <c r="B462" s="1" t="s">
        <v>1013</v>
      </c>
      <c r="C462" s="1" t="s">
        <v>68</v>
      </c>
      <c r="D462">
        <v>53</v>
      </c>
      <c r="E462" s="1" t="s">
        <v>144</v>
      </c>
      <c r="F462" s="1" t="s">
        <v>145</v>
      </c>
      <c r="G462" s="1" t="s">
        <v>27</v>
      </c>
      <c r="H462">
        <v>35</v>
      </c>
      <c r="J462">
        <v>5</v>
      </c>
      <c r="K462">
        <v>1</v>
      </c>
      <c r="L462">
        <v>0.62</v>
      </c>
      <c r="M462" s="1" t="s">
        <v>77</v>
      </c>
      <c r="N462" s="1" t="s">
        <v>29</v>
      </c>
      <c r="O462">
        <v>14</v>
      </c>
      <c r="P462">
        <v>9</v>
      </c>
      <c r="Q462" t="str">
        <f t="shared" si="36"/>
        <v>JESUS QUINN</v>
      </c>
      <c r="R462" t="str">
        <f t="shared" si="37"/>
        <v>france</v>
      </c>
      <c r="S462" t="str">
        <f>PROPER(global_freelancer_raw[[#This Row],[NAME UPPER]])</f>
        <v>Jesus Quinn</v>
      </c>
      <c r="T462" t="str">
        <f t="shared" si="38"/>
        <v>Fr</v>
      </c>
      <c r="U462" t="str">
        <f t="shared" si="35"/>
        <v>s Quin</v>
      </c>
      <c r="V462" t="str">
        <f t="shared" si="39"/>
        <v>61</v>
      </c>
    </row>
    <row r="463" spans="1:22" x14ac:dyDescent="0.3">
      <c r="A463" s="1" t="s">
        <v>1014</v>
      </c>
      <c r="B463" s="1" t="s">
        <v>1015</v>
      </c>
      <c r="C463" s="1" t="s">
        <v>32</v>
      </c>
      <c r="D463">
        <v>20</v>
      </c>
      <c r="E463" s="1" t="s">
        <v>69</v>
      </c>
      <c r="F463" s="1" t="s">
        <v>70</v>
      </c>
      <c r="G463" s="1" t="s">
        <v>57</v>
      </c>
      <c r="H463">
        <v>1</v>
      </c>
      <c r="I463">
        <v>50</v>
      </c>
      <c r="J463">
        <v>2.9</v>
      </c>
      <c r="K463" t="s">
        <v>168</v>
      </c>
      <c r="L463">
        <v>0.81</v>
      </c>
      <c r="M463" s="1" t="s">
        <v>20</v>
      </c>
      <c r="N463" s="1" t="s">
        <v>65</v>
      </c>
      <c r="O463">
        <v>1</v>
      </c>
      <c r="P463">
        <v>1</v>
      </c>
      <c r="Q463" t="str">
        <f t="shared" si="36"/>
        <v>MR. DANNY MORRIS DDS</v>
      </c>
      <c r="R463" t="str">
        <f t="shared" si="37"/>
        <v>turkey</v>
      </c>
      <c r="S463" t="str">
        <f>PROPER(global_freelancer_raw[[#This Row],[NAME UPPER]])</f>
        <v>Mr. Danny Morris Dds</v>
      </c>
      <c r="T463" t="str">
        <f t="shared" si="38"/>
        <v>Tu</v>
      </c>
      <c r="U463" t="str">
        <f t="shared" si="35"/>
        <v xml:space="preserve">Danny </v>
      </c>
      <c r="V463" t="str">
        <f t="shared" si="39"/>
        <v>62</v>
      </c>
    </row>
    <row r="464" spans="1:22" x14ac:dyDescent="0.3">
      <c r="A464" s="1" t="s">
        <v>1016</v>
      </c>
      <c r="B464" s="1" t="s">
        <v>1017</v>
      </c>
      <c r="C464" s="1" t="s">
        <v>44</v>
      </c>
      <c r="E464" s="1" t="s">
        <v>94</v>
      </c>
      <c r="F464" s="1" t="s">
        <v>95</v>
      </c>
      <c r="G464" s="1" t="s">
        <v>98</v>
      </c>
      <c r="H464">
        <v>12</v>
      </c>
      <c r="I464" t="s">
        <v>71</v>
      </c>
      <c r="J464">
        <v>4.0999999999999996</v>
      </c>
      <c r="K464" t="s">
        <v>83</v>
      </c>
      <c r="L464">
        <v>0.62</v>
      </c>
      <c r="M464" s="1" t="s">
        <v>72</v>
      </c>
      <c r="N464" s="1" t="s">
        <v>21</v>
      </c>
      <c r="O464">
        <v>7</v>
      </c>
      <c r="P464">
        <v>4</v>
      </c>
      <c r="Q464" t="str">
        <f t="shared" si="36"/>
        <v>NICOLE YORK</v>
      </c>
      <c r="R464" t="str">
        <f t="shared" si="37"/>
        <v>japan</v>
      </c>
      <c r="S464" t="str">
        <f>PROPER(global_freelancer_raw[[#This Row],[NAME UPPER]])</f>
        <v>Nicole York</v>
      </c>
      <c r="T464" t="str">
        <f t="shared" si="38"/>
        <v>Ja</v>
      </c>
      <c r="U464" t="str">
        <f t="shared" si="35"/>
        <v>le Yor</v>
      </c>
      <c r="V464" t="str">
        <f t="shared" si="39"/>
        <v>63</v>
      </c>
    </row>
    <row r="465" spans="1:22" x14ac:dyDescent="0.3">
      <c r="A465" s="1" t="s">
        <v>1018</v>
      </c>
      <c r="B465" s="1" t="s">
        <v>1019</v>
      </c>
      <c r="C465" s="1" t="s">
        <v>32</v>
      </c>
      <c r="D465">
        <v>26</v>
      </c>
      <c r="E465" s="1" t="s">
        <v>188</v>
      </c>
      <c r="F465" s="1" t="s">
        <v>81</v>
      </c>
      <c r="G465" s="1" t="s">
        <v>40</v>
      </c>
      <c r="H465">
        <v>8</v>
      </c>
      <c r="I465">
        <v>40</v>
      </c>
      <c r="J465">
        <v>4.9000000000000004</v>
      </c>
      <c r="K465" t="s">
        <v>35</v>
      </c>
      <c r="L465">
        <v>0.87</v>
      </c>
      <c r="M465" s="1" t="s">
        <v>72</v>
      </c>
      <c r="N465" s="1" t="s">
        <v>36</v>
      </c>
      <c r="O465">
        <v>9</v>
      </c>
      <c r="P465">
        <v>4</v>
      </c>
      <c r="Q465" t="str">
        <f t="shared" si="36"/>
        <v>JOHN MATHIS</v>
      </c>
      <c r="R465" t="str">
        <f t="shared" si="37"/>
        <v>mexico</v>
      </c>
      <c r="S465" t="str">
        <f>PROPER(global_freelancer_raw[[#This Row],[NAME UPPER]])</f>
        <v>John Mathis</v>
      </c>
      <c r="T465" t="str">
        <f t="shared" si="38"/>
        <v>Me</v>
      </c>
      <c r="U465" t="str">
        <f t="shared" si="35"/>
        <v xml:space="preserve"> Mathi</v>
      </c>
      <c r="V465" t="str">
        <f t="shared" si="39"/>
        <v>64</v>
      </c>
    </row>
    <row r="466" spans="1:22" x14ac:dyDescent="0.3">
      <c r="A466" s="1" t="s">
        <v>1020</v>
      </c>
      <c r="B466" s="1" t="s">
        <v>1021</v>
      </c>
      <c r="C466" s="1" t="s">
        <v>44</v>
      </c>
      <c r="D466">
        <v>49</v>
      </c>
      <c r="E466" s="1" t="s">
        <v>116</v>
      </c>
      <c r="F466" s="1" t="s">
        <v>117</v>
      </c>
      <c r="G466" s="1" t="s">
        <v>123</v>
      </c>
      <c r="H466">
        <v>13</v>
      </c>
      <c r="I466" t="s">
        <v>238</v>
      </c>
      <c r="J466">
        <v>2.5</v>
      </c>
      <c r="K466" t="b">
        <v>0</v>
      </c>
      <c r="M466" s="1" t="s">
        <v>77</v>
      </c>
      <c r="N466" s="1" t="s">
        <v>21</v>
      </c>
      <c r="O466">
        <v>6</v>
      </c>
      <c r="P466">
        <v>2</v>
      </c>
      <c r="Q466" t="str">
        <f t="shared" si="36"/>
        <v>JULIE BARNETT</v>
      </c>
      <c r="R466" t="str">
        <f t="shared" si="37"/>
        <v>brazil</v>
      </c>
      <c r="S466" t="str">
        <f>PROPER(global_freelancer_raw[[#This Row],[NAME UPPER]])</f>
        <v>Julie Barnett</v>
      </c>
      <c r="T466" t="str">
        <f t="shared" si="38"/>
        <v>Br</v>
      </c>
      <c r="U466" t="str">
        <f t="shared" si="35"/>
        <v>e Barn</v>
      </c>
      <c r="V466" t="str">
        <f t="shared" si="39"/>
        <v>65</v>
      </c>
    </row>
    <row r="467" spans="1:22" x14ac:dyDescent="0.3">
      <c r="A467" s="1" t="s">
        <v>1022</v>
      </c>
      <c r="B467" s="1" t="s">
        <v>1023</v>
      </c>
      <c r="C467" s="1" t="s">
        <v>39</v>
      </c>
      <c r="D467">
        <v>20</v>
      </c>
      <c r="E467" s="1" t="s">
        <v>148</v>
      </c>
      <c r="F467" s="1" t="s">
        <v>149</v>
      </c>
      <c r="G467" s="1" t="s">
        <v>57</v>
      </c>
      <c r="H467">
        <v>0</v>
      </c>
      <c r="I467" t="s">
        <v>118</v>
      </c>
      <c r="J467">
        <v>0</v>
      </c>
      <c r="K467">
        <v>1</v>
      </c>
      <c r="L467">
        <v>76</v>
      </c>
      <c r="M467" s="1" t="s">
        <v>72</v>
      </c>
      <c r="N467" s="1" t="s">
        <v>29</v>
      </c>
      <c r="O467">
        <v>5</v>
      </c>
      <c r="P467">
        <v>3</v>
      </c>
      <c r="Q467" t="str">
        <f t="shared" si="36"/>
        <v>JASMINE HARRIS</v>
      </c>
      <c r="R467" t="str">
        <f t="shared" si="37"/>
        <v>egypt</v>
      </c>
      <c r="S467" t="str">
        <f>PROPER(global_freelancer_raw[[#This Row],[NAME UPPER]])</f>
        <v>Jasmine Harris</v>
      </c>
      <c r="T467" t="str">
        <f t="shared" si="38"/>
        <v>Eg</v>
      </c>
      <c r="U467" t="str">
        <f t="shared" si="35"/>
        <v>ine Ha</v>
      </c>
      <c r="V467" t="str">
        <f t="shared" si="39"/>
        <v>66</v>
      </c>
    </row>
    <row r="468" spans="1:22" x14ac:dyDescent="0.3">
      <c r="A468" s="1" t="s">
        <v>1024</v>
      </c>
      <c r="B468" s="1" t="s">
        <v>1025</v>
      </c>
      <c r="C468" s="1" t="s">
        <v>44</v>
      </c>
      <c r="D468">
        <v>39</v>
      </c>
      <c r="E468" s="1" t="s">
        <v>184</v>
      </c>
      <c r="F468" s="1" t="s">
        <v>185</v>
      </c>
      <c r="G468" s="1" t="s">
        <v>19</v>
      </c>
      <c r="H468">
        <v>11</v>
      </c>
      <c r="I468">
        <v>100</v>
      </c>
      <c r="J468">
        <v>2.8</v>
      </c>
      <c r="L468">
        <v>70</v>
      </c>
      <c r="M468" s="1" t="s">
        <v>77</v>
      </c>
      <c r="N468" s="1" t="s">
        <v>21</v>
      </c>
      <c r="O468">
        <v>9</v>
      </c>
      <c r="P468">
        <v>10</v>
      </c>
      <c r="Q468" t="str">
        <f t="shared" si="36"/>
        <v>MARY HENRY</v>
      </c>
      <c r="R468" t="str">
        <f t="shared" si="37"/>
        <v>china</v>
      </c>
      <c r="S468" t="str">
        <f>PROPER(global_freelancer_raw[[#This Row],[NAME UPPER]])</f>
        <v>Mary Henry</v>
      </c>
      <c r="T468" t="str">
        <f t="shared" si="38"/>
        <v>Ch</v>
      </c>
      <c r="U468" t="str">
        <f t="shared" si="35"/>
        <v xml:space="preserve"> Henry</v>
      </c>
      <c r="V468" t="str">
        <f t="shared" si="39"/>
        <v>67</v>
      </c>
    </row>
    <row r="469" spans="1:22" x14ac:dyDescent="0.3">
      <c r="A469" s="1" t="s">
        <v>1026</v>
      </c>
      <c r="B469" s="1" t="s">
        <v>1027</v>
      </c>
      <c r="C469" s="1" t="s">
        <v>39</v>
      </c>
      <c r="D469">
        <v>41</v>
      </c>
      <c r="E469" s="1" t="s">
        <v>184</v>
      </c>
      <c r="F469" s="1" t="s">
        <v>185</v>
      </c>
      <c r="G469" s="1" t="s">
        <v>123</v>
      </c>
      <c r="H469">
        <v>19</v>
      </c>
      <c r="I469">
        <v>100</v>
      </c>
      <c r="J469">
        <v>3.8</v>
      </c>
      <c r="K469" t="s">
        <v>76</v>
      </c>
      <c r="L469">
        <v>0.71</v>
      </c>
      <c r="M469" s="1" t="s">
        <v>72</v>
      </c>
      <c r="N469" s="1" t="s">
        <v>29</v>
      </c>
      <c r="O469">
        <v>16</v>
      </c>
      <c r="P469">
        <v>5</v>
      </c>
      <c r="Q469" t="str">
        <f t="shared" si="36"/>
        <v>JUDITH RIGGS</v>
      </c>
      <c r="R469" t="str">
        <f t="shared" si="37"/>
        <v>china</v>
      </c>
      <c r="S469" t="str">
        <f>PROPER(global_freelancer_raw[[#This Row],[NAME UPPER]])</f>
        <v>Judith Riggs</v>
      </c>
      <c r="T469" t="str">
        <f t="shared" si="38"/>
        <v>Ch</v>
      </c>
      <c r="U469" t="str">
        <f t="shared" si="35"/>
        <v>th Rig</v>
      </c>
      <c r="V469" t="str">
        <f t="shared" si="39"/>
        <v>68</v>
      </c>
    </row>
    <row r="470" spans="1:22" x14ac:dyDescent="0.3">
      <c r="A470" s="1" t="s">
        <v>1028</v>
      </c>
      <c r="B470" s="1" t="s">
        <v>1029</v>
      </c>
      <c r="C470" s="1" t="s">
        <v>106</v>
      </c>
      <c r="D470">
        <v>59</v>
      </c>
      <c r="E470" s="1" t="s">
        <v>137</v>
      </c>
      <c r="F470" s="1" t="s">
        <v>26</v>
      </c>
      <c r="G470" s="1" t="s">
        <v>27</v>
      </c>
      <c r="H470">
        <v>30</v>
      </c>
      <c r="I470" t="s">
        <v>118</v>
      </c>
      <c r="J470">
        <v>4.3</v>
      </c>
      <c r="K470">
        <v>1</v>
      </c>
      <c r="L470">
        <v>0.83</v>
      </c>
      <c r="M470" s="1" t="s">
        <v>51</v>
      </c>
      <c r="N470" s="1" t="s">
        <v>29</v>
      </c>
      <c r="O470">
        <v>11</v>
      </c>
      <c r="P470">
        <v>3</v>
      </c>
      <c r="Q470" t="str">
        <f t="shared" si="36"/>
        <v>JUSTIN RUIZ</v>
      </c>
      <c r="R470" t="str">
        <f t="shared" si="37"/>
        <v>canada</v>
      </c>
      <c r="S470" t="str">
        <f>PROPER(global_freelancer_raw[[#This Row],[NAME UPPER]])</f>
        <v>Justin Ruiz</v>
      </c>
      <c r="T470" t="str">
        <f t="shared" si="38"/>
        <v>Ca</v>
      </c>
      <c r="U470" t="str">
        <f t="shared" si="35"/>
        <v>in Rui</v>
      </c>
      <c r="V470" t="str">
        <f t="shared" si="39"/>
        <v>69</v>
      </c>
    </row>
    <row r="471" spans="1:22" x14ac:dyDescent="0.3">
      <c r="A471" s="1" t="s">
        <v>1030</v>
      </c>
      <c r="B471" s="1" t="s">
        <v>1031</v>
      </c>
      <c r="C471" s="1" t="s">
        <v>86</v>
      </c>
      <c r="D471">
        <v>45</v>
      </c>
      <c r="E471" s="1" t="s">
        <v>25</v>
      </c>
      <c r="F471" s="1" t="s">
        <v>26</v>
      </c>
      <c r="G471" s="1" t="s">
        <v>19</v>
      </c>
      <c r="H471">
        <v>8</v>
      </c>
      <c r="I471">
        <v>40</v>
      </c>
      <c r="J471">
        <v>0</v>
      </c>
      <c r="K471">
        <v>0</v>
      </c>
      <c r="L471">
        <v>78</v>
      </c>
      <c r="M471" s="1" t="s">
        <v>77</v>
      </c>
      <c r="N471" s="1" t="s">
        <v>65</v>
      </c>
      <c r="O471">
        <v>7</v>
      </c>
      <c r="P471">
        <v>9</v>
      </c>
      <c r="Q471" t="str">
        <f t="shared" si="36"/>
        <v>JENNIFER SULLIVAN</v>
      </c>
      <c r="R471" t="str">
        <f t="shared" si="37"/>
        <v>australia</v>
      </c>
      <c r="S471" t="str">
        <f>PROPER(global_freelancer_raw[[#This Row],[NAME UPPER]])</f>
        <v>Jennifer Sullivan</v>
      </c>
      <c r="T471" t="str">
        <f t="shared" si="38"/>
        <v>Au</v>
      </c>
      <c r="U471" t="str">
        <f t="shared" si="35"/>
        <v>ifer S</v>
      </c>
      <c r="V471" t="str">
        <f t="shared" si="39"/>
        <v>70</v>
      </c>
    </row>
    <row r="472" spans="1:22" x14ac:dyDescent="0.3">
      <c r="A472" s="1" t="s">
        <v>1032</v>
      </c>
      <c r="B472" s="1" t="s">
        <v>1033</v>
      </c>
      <c r="C472" s="1" t="s">
        <v>68</v>
      </c>
      <c r="D472">
        <v>22</v>
      </c>
      <c r="E472" s="1" t="s">
        <v>55</v>
      </c>
      <c r="F472" s="1" t="s">
        <v>56</v>
      </c>
      <c r="G472" s="1" t="s">
        <v>87</v>
      </c>
      <c r="H472">
        <v>0</v>
      </c>
      <c r="I472">
        <v>40</v>
      </c>
      <c r="J472">
        <v>1.3</v>
      </c>
      <c r="K472">
        <v>1</v>
      </c>
      <c r="L472">
        <v>0.78</v>
      </c>
      <c r="M472" s="1" t="s">
        <v>72</v>
      </c>
      <c r="N472" s="1" t="s">
        <v>29</v>
      </c>
      <c r="O472">
        <v>2</v>
      </c>
      <c r="P472">
        <v>1</v>
      </c>
      <c r="Q472" t="str">
        <f t="shared" si="36"/>
        <v>JESSE MORAN</v>
      </c>
      <c r="R472" t="str">
        <f t="shared" si="37"/>
        <v>indonesia</v>
      </c>
      <c r="S472" t="str">
        <f>PROPER(global_freelancer_raw[[#This Row],[NAME UPPER]])</f>
        <v>Jesse Moran</v>
      </c>
      <c r="T472" t="str">
        <f t="shared" si="38"/>
        <v>In</v>
      </c>
      <c r="U472" t="str">
        <f t="shared" si="35"/>
        <v>e Mora</v>
      </c>
      <c r="V472" t="str">
        <f t="shared" si="39"/>
        <v>71</v>
      </c>
    </row>
    <row r="473" spans="1:22" x14ac:dyDescent="0.3">
      <c r="A473" s="1" t="s">
        <v>1034</v>
      </c>
      <c r="B473" s="1" t="s">
        <v>1035</v>
      </c>
      <c r="C473" s="1" t="s">
        <v>16</v>
      </c>
      <c r="D473">
        <v>48</v>
      </c>
      <c r="E473" s="1" t="s">
        <v>102</v>
      </c>
      <c r="F473" s="1" t="s">
        <v>103</v>
      </c>
      <c r="G473" s="1" t="s">
        <v>27</v>
      </c>
      <c r="H473">
        <v>7</v>
      </c>
      <c r="I473">
        <v>50</v>
      </c>
      <c r="J473">
        <v>4.7</v>
      </c>
      <c r="K473" t="s">
        <v>83</v>
      </c>
      <c r="L473">
        <v>0.6</v>
      </c>
      <c r="M473" s="1" t="s">
        <v>20</v>
      </c>
      <c r="N473" s="1" t="s">
        <v>65</v>
      </c>
      <c r="O473">
        <v>13</v>
      </c>
      <c r="P473">
        <v>10</v>
      </c>
      <c r="Q473" t="str">
        <f t="shared" si="36"/>
        <v>MONICA SMITH</v>
      </c>
      <c r="R473" t="str">
        <f t="shared" si="37"/>
        <v>india</v>
      </c>
      <c r="S473" t="str">
        <f>PROPER(global_freelancer_raw[[#This Row],[NAME UPPER]])</f>
        <v>Monica Smith</v>
      </c>
      <c r="T473" t="str">
        <f t="shared" si="38"/>
        <v>In</v>
      </c>
      <c r="U473" t="str">
        <f t="shared" si="35"/>
        <v>ca Smi</v>
      </c>
      <c r="V473" t="str">
        <f t="shared" si="39"/>
        <v>72</v>
      </c>
    </row>
    <row r="474" spans="1:22" x14ac:dyDescent="0.3">
      <c r="A474" s="1" t="s">
        <v>1036</v>
      </c>
      <c r="B474" s="1" t="s">
        <v>1037</v>
      </c>
      <c r="C474" s="1" t="s">
        <v>68</v>
      </c>
      <c r="D474">
        <v>36</v>
      </c>
      <c r="E474" s="1" t="s">
        <v>144</v>
      </c>
      <c r="F474" s="1" t="s">
        <v>145</v>
      </c>
      <c r="G474" s="1" t="s">
        <v>19</v>
      </c>
      <c r="H474">
        <v>11</v>
      </c>
      <c r="I474" t="s">
        <v>41</v>
      </c>
      <c r="J474">
        <v>1.3</v>
      </c>
      <c r="K474" t="b">
        <v>1</v>
      </c>
      <c r="M474" s="1" t="s">
        <v>72</v>
      </c>
      <c r="N474" s="1" t="s">
        <v>65</v>
      </c>
      <c r="O474">
        <v>15</v>
      </c>
      <c r="P474">
        <v>4</v>
      </c>
      <c r="Q474" t="str">
        <f t="shared" si="36"/>
        <v>IAN MAY</v>
      </c>
      <c r="R474" t="str">
        <f t="shared" si="37"/>
        <v>france</v>
      </c>
      <c r="S474" t="str">
        <f>PROPER(global_freelancer_raw[[#This Row],[NAME UPPER]])</f>
        <v>Ian May</v>
      </c>
      <c r="T474" t="str">
        <f t="shared" si="38"/>
        <v>Fr</v>
      </c>
      <c r="U474" t="str">
        <f t="shared" si="35"/>
        <v>May</v>
      </c>
      <c r="V474" t="str">
        <f t="shared" si="39"/>
        <v>73</v>
      </c>
    </row>
    <row r="475" spans="1:22" x14ac:dyDescent="0.3">
      <c r="A475" s="1" t="s">
        <v>1038</v>
      </c>
      <c r="B475" s="1" t="s">
        <v>1039</v>
      </c>
      <c r="C475" s="1" t="s">
        <v>24</v>
      </c>
      <c r="D475">
        <v>57</v>
      </c>
      <c r="E475" s="1" t="s">
        <v>184</v>
      </c>
      <c r="F475" s="1" t="s">
        <v>185</v>
      </c>
      <c r="G475" s="1" t="s">
        <v>19</v>
      </c>
      <c r="I475">
        <v>75</v>
      </c>
      <c r="J475">
        <v>4.8</v>
      </c>
      <c r="K475">
        <v>1</v>
      </c>
      <c r="M475" s="1" t="s">
        <v>20</v>
      </c>
      <c r="N475" s="1" t="s">
        <v>65</v>
      </c>
      <c r="O475">
        <v>1</v>
      </c>
      <c r="P475">
        <v>2</v>
      </c>
      <c r="Q475" t="str">
        <f t="shared" si="36"/>
        <v>KAYLA MEYERS</v>
      </c>
      <c r="R475" t="str">
        <f t="shared" si="37"/>
        <v>china</v>
      </c>
      <c r="S475" t="str">
        <f>PROPER(global_freelancer_raw[[#This Row],[NAME UPPER]])</f>
        <v>Kayla Meyers</v>
      </c>
      <c r="T475" t="str">
        <f t="shared" si="38"/>
        <v>Ch</v>
      </c>
      <c r="U475" t="str">
        <f t="shared" si="35"/>
        <v>a Meye</v>
      </c>
      <c r="V475" t="str">
        <f t="shared" si="39"/>
        <v>74</v>
      </c>
    </row>
    <row r="476" spans="1:22" x14ac:dyDescent="0.3">
      <c r="A476" s="1" t="s">
        <v>1040</v>
      </c>
      <c r="B476" s="1" t="s">
        <v>1041</v>
      </c>
      <c r="C476" s="1" t="s">
        <v>68</v>
      </c>
      <c r="D476">
        <v>42</v>
      </c>
      <c r="E476" s="1" t="s">
        <v>64</v>
      </c>
      <c r="F476" s="1" t="s">
        <v>26</v>
      </c>
      <c r="G476" s="1" t="s">
        <v>82</v>
      </c>
      <c r="H476">
        <v>14</v>
      </c>
      <c r="I476" t="s">
        <v>50</v>
      </c>
      <c r="J476">
        <v>1.3</v>
      </c>
      <c r="K476">
        <v>0</v>
      </c>
      <c r="L476">
        <v>0.94</v>
      </c>
      <c r="M476" s="1" t="s">
        <v>20</v>
      </c>
      <c r="N476" s="1" t="s">
        <v>36</v>
      </c>
      <c r="O476">
        <v>6</v>
      </c>
      <c r="P476">
        <v>1</v>
      </c>
      <c r="Q476" t="str">
        <f t="shared" si="36"/>
        <v>JOHN BRAY</v>
      </c>
      <c r="R476" t="str">
        <f t="shared" si="37"/>
        <v>us</v>
      </c>
      <c r="S476" t="str">
        <f>PROPER(global_freelancer_raw[[#This Row],[NAME UPPER]])</f>
        <v>John Bray</v>
      </c>
      <c r="T476" t="str">
        <f t="shared" si="38"/>
        <v>US</v>
      </c>
      <c r="U476" t="str">
        <f t="shared" si="35"/>
        <v xml:space="preserve"> Bray</v>
      </c>
      <c r="V476" t="str">
        <f t="shared" si="39"/>
        <v>75</v>
      </c>
    </row>
    <row r="477" spans="1:22" x14ac:dyDescent="0.3">
      <c r="A477" s="1" t="s">
        <v>1042</v>
      </c>
      <c r="B477" s="1" t="s">
        <v>1043</v>
      </c>
      <c r="C477" s="1" t="s">
        <v>54</v>
      </c>
      <c r="D477">
        <v>31</v>
      </c>
      <c r="E477" s="1" t="s">
        <v>55</v>
      </c>
      <c r="F477" s="1" t="s">
        <v>56</v>
      </c>
      <c r="G477" s="1" t="s">
        <v>87</v>
      </c>
      <c r="H477">
        <v>11</v>
      </c>
      <c r="I477" t="s">
        <v>71</v>
      </c>
      <c r="J477">
        <v>4.3</v>
      </c>
      <c r="K477">
        <v>0</v>
      </c>
      <c r="L477">
        <v>62</v>
      </c>
      <c r="M477" s="1" t="s">
        <v>51</v>
      </c>
      <c r="N477" s="1" t="s">
        <v>36</v>
      </c>
      <c r="O477">
        <v>7</v>
      </c>
      <c r="P477">
        <v>14</v>
      </c>
      <c r="Q477" t="str">
        <f t="shared" si="36"/>
        <v>JAMES SMITH</v>
      </c>
      <c r="R477" t="str">
        <f t="shared" si="37"/>
        <v>indonesia</v>
      </c>
      <c r="S477" t="str">
        <f>PROPER(global_freelancer_raw[[#This Row],[NAME UPPER]])</f>
        <v>James Smith</v>
      </c>
      <c r="T477" t="str">
        <f t="shared" si="38"/>
        <v>In</v>
      </c>
      <c r="U477" t="str">
        <f t="shared" si="35"/>
        <v>s Smit</v>
      </c>
      <c r="V477" t="str">
        <f t="shared" si="39"/>
        <v>76</v>
      </c>
    </row>
    <row r="478" spans="1:22" x14ac:dyDescent="0.3">
      <c r="A478" s="1" t="s">
        <v>1044</v>
      </c>
      <c r="B478" s="1" t="s">
        <v>1045</v>
      </c>
      <c r="C478" s="1" t="s">
        <v>101</v>
      </c>
      <c r="D478">
        <v>52</v>
      </c>
      <c r="E478" s="1" t="s">
        <v>199</v>
      </c>
      <c r="F478" s="1" t="s">
        <v>81</v>
      </c>
      <c r="G478" s="1" t="s">
        <v>87</v>
      </c>
      <c r="H478">
        <v>31</v>
      </c>
      <c r="I478">
        <v>30</v>
      </c>
      <c r="K478">
        <v>1</v>
      </c>
      <c r="M478" s="1" t="s">
        <v>77</v>
      </c>
      <c r="N478" s="1" t="s">
        <v>29</v>
      </c>
      <c r="O478">
        <v>14</v>
      </c>
      <c r="P478">
        <v>3</v>
      </c>
      <c r="Q478" t="str">
        <f t="shared" si="36"/>
        <v>MARK DUNCAN</v>
      </c>
      <c r="R478" t="str">
        <f t="shared" si="37"/>
        <v>spain</v>
      </c>
      <c r="S478" t="str">
        <f>PROPER(global_freelancer_raw[[#This Row],[NAME UPPER]])</f>
        <v>Mark Duncan</v>
      </c>
      <c r="T478" t="str">
        <f t="shared" si="38"/>
        <v>Sp</v>
      </c>
      <c r="U478" t="str">
        <f t="shared" si="35"/>
        <v xml:space="preserve"> Dunca</v>
      </c>
      <c r="V478" t="str">
        <f t="shared" si="39"/>
        <v>77</v>
      </c>
    </row>
    <row r="479" spans="1:22" x14ac:dyDescent="0.3">
      <c r="A479" s="1" t="s">
        <v>1046</v>
      </c>
      <c r="B479" s="1" t="s">
        <v>1047</v>
      </c>
      <c r="C479" s="1" t="s">
        <v>101</v>
      </c>
      <c r="D479">
        <v>56</v>
      </c>
      <c r="E479" s="1" t="s">
        <v>47</v>
      </c>
      <c r="F479" s="1" t="s">
        <v>48</v>
      </c>
      <c r="G479" s="1" t="s">
        <v>98</v>
      </c>
      <c r="H479">
        <v>16</v>
      </c>
      <c r="I479" t="s">
        <v>118</v>
      </c>
      <c r="J479">
        <v>0</v>
      </c>
      <c r="K479" t="s">
        <v>76</v>
      </c>
      <c r="M479" s="1" t="s">
        <v>72</v>
      </c>
      <c r="N479" s="1" t="s">
        <v>65</v>
      </c>
      <c r="O479">
        <v>12</v>
      </c>
      <c r="P479">
        <v>10</v>
      </c>
      <c r="Q479" t="str">
        <f t="shared" si="36"/>
        <v>MATTHEW GAY</v>
      </c>
      <c r="R479" t="str">
        <f t="shared" si="37"/>
        <v>netherlands</v>
      </c>
      <c r="S479" t="str">
        <f>PROPER(global_freelancer_raw[[#This Row],[NAME UPPER]])</f>
        <v>Matthew Gay</v>
      </c>
      <c r="T479" t="str">
        <f t="shared" si="38"/>
        <v>Ne</v>
      </c>
      <c r="U479" t="str">
        <f t="shared" si="35"/>
        <v>hew Ga</v>
      </c>
      <c r="V479" t="str">
        <f t="shared" si="39"/>
        <v>78</v>
      </c>
    </row>
    <row r="480" spans="1:22" x14ac:dyDescent="0.3">
      <c r="A480" s="1" t="s">
        <v>1048</v>
      </c>
      <c r="B480" s="1" t="s">
        <v>1049</v>
      </c>
      <c r="C480" s="1" t="s">
        <v>86</v>
      </c>
      <c r="D480">
        <v>24</v>
      </c>
      <c r="E480" s="1" t="s">
        <v>47</v>
      </c>
      <c r="F480" s="1" t="s">
        <v>48</v>
      </c>
      <c r="G480" s="1" t="s">
        <v>98</v>
      </c>
      <c r="H480">
        <v>6</v>
      </c>
      <c r="I480">
        <v>30</v>
      </c>
      <c r="J480">
        <v>0</v>
      </c>
      <c r="K480" t="s">
        <v>76</v>
      </c>
      <c r="L480">
        <v>0.84</v>
      </c>
      <c r="M480" s="1" t="s">
        <v>51</v>
      </c>
      <c r="N480" s="1" t="s">
        <v>36</v>
      </c>
      <c r="O480">
        <v>6</v>
      </c>
      <c r="P480">
        <v>4</v>
      </c>
      <c r="Q480" t="str">
        <f t="shared" si="36"/>
        <v>CHERYL FREEMAN</v>
      </c>
      <c r="R480" t="str">
        <f t="shared" si="37"/>
        <v>netherlands</v>
      </c>
      <c r="S480" t="str">
        <f>PROPER(global_freelancer_raw[[#This Row],[NAME UPPER]])</f>
        <v>Cheryl Freeman</v>
      </c>
      <c r="T480" t="str">
        <f t="shared" si="38"/>
        <v>Ne</v>
      </c>
      <c r="U480" t="str">
        <f t="shared" si="35"/>
        <v>yl Fre</v>
      </c>
      <c r="V480" t="str">
        <f t="shared" si="39"/>
        <v>79</v>
      </c>
    </row>
    <row r="481" spans="1:22" x14ac:dyDescent="0.3">
      <c r="A481" s="1" t="s">
        <v>1050</v>
      </c>
      <c r="B481" s="1" t="s">
        <v>1051</v>
      </c>
      <c r="C481" s="1" t="s">
        <v>32</v>
      </c>
      <c r="D481">
        <v>48</v>
      </c>
      <c r="E481" s="1" t="s">
        <v>137</v>
      </c>
      <c r="F481" s="1" t="s">
        <v>26</v>
      </c>
      <c r="G481" s="1" t="s">
        <v>98</v>
      </c>
      <c r="H481">
        <v>21</v>
      </c>
      <c r="I481">
        <v>75</v>
      </c>
      <c r="J481">
        <v>2.7</v>
      </c>
      <c r="K481">
        <v>1</v>
      </c>
      <c r="M481" s="1" t="s">
        <v>72</v>
      </c>
      <c r="N481" s="1" t="s">
        <v>65</v>
      </c>
      <c r="O481">
        <v>17</v>
      </c>
      <c r="P481">
        <v>8</v>
      </c>
      <c r="Q481" t="str">
        <f t="shared" si="36"/>
        <v>PATRICK WELCH</v>
      </c>
      <c r="R481" t="str">
        <f t="shared" si="37"/>
        <v>canada</v>
      </c>
      <c r="S481" t="str">
        <f>PROPER(global_freelancer_raw[[#This Row],[NAME UPPER]])</f>
        <v>Patrick Welch</v>
      </c>
      <c r="T481" t="str">
        <f t="shared" si="38"/>
        <v>Ca</v>
      </c>
      <c r="U481" t="str">
        <f t="shared" si="35"/>
        <v>ick We</v>
      </c>
      <c r="V481" t="str">
        <f t="shared" si="39"/>
        <v>80</v>
      </c>
    </row>
    <row r="482" spans="1:22" x14ac:dyDescent="0.3">
      <c r="A482" s="1" t="s">
        <v>1052</v>
      </c>
      <c r="B482" s="1" t="s">
        <v>1053</v>
      </c>
      <c r="C482" s="1" t="s">
        <v>106</v>
      </c>
      <c r="D482">
        <v>59</v>
      </c>
      <c r="E482" s="1" t="s">
        <v>144</v>
      </c>
      <c r="F482" s="1" t="s">
        <v>145</v>
      </c>
      <c r="G482" s="1" t="s">
        <v>87</v>
      </c>
      <c r="H482">
        <v>13</v>
      </c>
      <c r="I482">
        <v>40</v>
      </c>
      <c r="J482">
        <v>2.4</v>
      </c>
      <c r="K482" t="s">
        <v>168</v>
      </c>
      <c r="L482">
        <v>65</v>
      </c>
      <c r="M482" s="1" t="s">
        <v>20</v>
      </c>
      <c r="N482" s="1" t="s">
        <v>21</v>
      </c>
      <c r="O482">
        <v>13</v>
      </c>
      <c r="P482">
        <v>4</v>
      </c>
      <c r="Q482" t="str">
        <f t="shared" si="36"/>
        <v>CRAIG LEVINE</v>
      </c>
      <c r="R482" t="str">
        <f t="shared" si="37"/>
        <v>france</v>
      </c>
      <c r="S482" t="str">
        <f>PROPER(global_freelancer_raw[[#This Row],[NAME UPPER]])</f>
        <v>Craig Levine</v>
      </c>
      <c r="T482" t="str">
        <f t="shared" si="38"/>
        <v>Fr</v>
      </c>
      <c r="U482" t="str">
        <f t="shared" si="35"/>
        <v>g Levi</v>
      </c>
      <c r="V482" t="str">
        <f t="shared" si="39"/>
        <v>81</v>
      </c>
    </row>
    <row r="483" spans="1:22" x14ac:dyDescent="0.3">
      <c r="A483" s="1" t="s">
        <v>1054</v>
      </c>
      <c r="B483" s="1" t="s">
        <v>1055</v>
      </c>
      <c r="C483" s="1" t="s">
        <v>68</v>
      </c>
      <c r="E483" s="1" t="s">
        <v>75</v>
      </c>
      <c r="F483" s="1" t="s">
        <v>26</v>
      </c>
      <c r="G483" s="1" t="s">
        <v>40</v>
      </c>
      <c r="I483">
        <v>40</v>
      </c>
      <c r="J483">
        <v>1.9</v>
      </c>
      <c r="K483">
        <v>1</v>
      </c>
      <c r="L483">
        <v>0.94</v>
      </c>
      <c r="M483" s="1" t="s">
        <v>77</v>
      </c>
      <c r="N483" s="1" t="s">
        <v>21</v>
      </c>
      <c r="O483">
        <v>4</v>
      </c>
      <c r="P483">
        <v>3</v>
      </c>
      <c r="Q483" t="str">
        <f t="shared" si="36"/>
        <v>RICHARD HARVEY</v>
      </c>
      <c r="R483" t="str">
        <f t="shared" si="37"/>
        <v>uk</v>
      </c>
      <c r="S483" t="str">
        <f>PROPER(global_freelancer_raw[[#This Row],[NAME UPPER]])</f>
        <v>Richard Harvey</v>
      </c>
      <c r="T483" t="str">
        <f t="shared" si="38"/>
        <v>UK</v>
      </c>
      <c r="U483" t="str">
        <f t="shared" si="35"/>
        <v>ard Ha</v>
      </c>
      <c r="V483" t="str">
        <f t="shared" si="39"/>
        <v>82</v>
      </c>
    </row>
    <row r="484" spans="1:22" x14ac:dyDescent="0.3">
      <c r="A484" s="1" t="s">
        <v>1056</v>
      </c>
      <c r="B484" s="1" t="s">
        <v>1057</v>
      </c>
      <c r="C484" s="1" t="s">
        <v>44</v>
      </c>
      <c r="E484" s="1" t="s">
        <v>47</v>
      </c>
      <c r="F484" s="1" t="s">
        <v>48</v>
      </c>
      <c r="G484" s="1" t="s">
        <v>27</v>
      </c>
      <c r="H484">
        <v>11</v>
      </c>
      <c r="I484" t="s">
        <v>130</v>
      </c>
      <c r="J484">
        <v>3.6</v>
      </c>
      <c r="K484" t="s">
        <v>168</v>
      </c>
      <c r="L484">
        <v>0.69</v>
      </c>
      <c r="M484" s="1" t="s">
        <v>72</v>
      </c>
      <c r="N484" s="1" t="s">
        <v>21</v>
      </c>
      <c r="O484">
        <v>15</v>
      </c>
      <c r="P484">
        <v>6</v>
      </c>
      <c r="Q484" t="str">
        <f t="shared" si="36"/>
        <v>BONNIE SHERMAN</v>
      </c>
      <c r="R484" t="str">
        <f t="shared" si="37"/>
        <v>netherlands</v>
      </c>
      <c r="S484" t="str">
        <f>PROPER(global_freelancer_raw[[#This Row],[NAME UPPER]])</f>
        <v>Bonnie Sherman</v>
      </c>
      <c r="T484" t="str">
        <f t="shared" si="38"/>
        <v>Ne</v>
      </c>
      <c r="U484" t="str">
        <f t="shared" si="35"/>
        <v>ie She</v>
      </c>
      <c r="V484" t="str">
        <f t="shared" si="39"/>
        <v>83</v>
      </c>
    </row>
    <row r="485" spans="1:22" x14ac:dyDescent="0.3">
      <c r="A485" s="1" t="s">
        <v>1058</v>
      </c>
      <c r="B485" s="1" t="s">
        <v>1059</v>
      </c>
      <c r="C485" s="1" t="s">
        <v>54</v>
      </c>
      <c r="D485">
        <v>25</v>
      </c>
      <c r="E485" s="1" t="s">
        <v>47</v>
      </c>
      <c r="F485" s="1" t="s">
        <v>48</v>
      </c>
      <c r="G485" s="1" t="s">
        <v>27</v>
      </c>
      <c r="H485">
        <v>0</v>
      </c>
      <c r="I485">
        <v>50</v>
      </c>
      <c r="J485">
        <v>2.9</v>
      </c>
      <c r="K485" t="s">
        <v>76</v>
      </c>
      <c r="L485">
        <v>0.65</v>
      </c>
      <c r="M485" s="1" t="s">
        <v>72</v>
      </c>
      <c r="N485" s="1" t="s">
        <v>29</v>
      </c>
      <c r="O485">
        <v>2</v>
      </c>
      <c r="P485">
        <v>1</v>
      </c>
      <c r="Q485" t="str">
        <f t="shared" si="36"/>
        <v>KEITH TRUJILLO</v>
      </c>
      <c r="R485" t="str">
        <f t="shared" si="37"/>
        <v>netherlands</v>
      </c>
      <c r="S485" t="str">
        <f>PROPER(global_freelancer_raw[[#This Row],[NAME UPPER]])</f>
        <v>Keith Trujillo</v>
      </c>
      <c r="T485" t="str">
        <f t="shared" si="38"/>
        <v>Ne</v>
      </c>
      <c r="U485" t="str">
        <f t="shared" si="35"/>
        <v>h Truj</v>
      </c>
      <c r="V485" t="str">
        <f t="shared" si="39"/>
        <v>84</v>
      </c>
    </row>
    <row r="486" spans="1:22" x14ac:dyDescent="0.3">
      <c r="A486" s="1" t="s">
        <v>1060</v>
      </c>
      <c r="B486" s="1" t="s">
        <v>1061</v>
      </c>
      <c r="C486" s="1" t="s">
        <v>32</v>
      </c>
      <c r="D486">
        <v>31</v>
      </c>
      <c r="E486" s="1" t="s">
        <v>148</v>
      </c>
      <c r="F486" s="1" t="s">
        <v>149</v>
      </c>
      <c r="G486" s="1" t="s">
        <v>27</v>
      </c>
      <c r="H486">
        <v>2</v>
      </c>
      <c r="I486" t="s">
        <v>179</v>
      </c>
      <c r="J486">
        <v>2.8</v>
      </c>
      <c r="K486" t="b">
        <v>0</v>
      </c>
      <c r="L486">
        <v>0.6</v>
      </c>
      <c r="M486" s="1" t="s">
        <v>20</v>
      </c>
      <c r="N486" s="1" t="s">
        <v>65</v>
      </c>
      <c r="O486">
        <v>5</v>
      </c>
      <c r="P486">
        <v>1</v>
      </c>
      <c r="Q486" t="str">
        <f t="shared" si="36"/>
        <v>COREY COMBS</v>
      </c>
      <c r="R486" t="str">
        <f t="shared" si="37"/>
        <v>egypt</v>
      </c>
      <c r="S486" t="str">
        <f>PROPER(global_freelancer_raw[[#This Row],[NAME UPPER]])</f>
        <v>Corey Combs</v>
      </c>
      <c r="T486" t="str">
        <f t="shared" si="38"/>
        <v>Eg</v>
      </c>
      <c r="U486" t="str">
        <f t="shared" si="35"/>
        <v>y Comb</v>
      </c>
      <c r="V486" t="str">
        <f t="shared" si="39"/>
        <v>85</v>
      </c>
    </row>
    <row r="487" spans="1:22" x14ac:dyDescent="0.3">
      <c r="A487" s="1" t="s">
        <v>1062</v>
      </c>
      <c r="B487" s="1" t="s">
        <v>1063</v>
      </c>
      <c r="C487" s="1" t="s">
        <v>68</v>
      </c>
      <c r="D487">
        <v>40</v>
      </c>
      <c r="E487" s="1" t="s">
        <v>69</v>
      </c>
      <c r="F487" s="1" t="s">
        <v>70</v>
      </c>
      <c r="G487" s="1" t="s">
        <v>98</v>
      </c>
      <c r="H487">
        <v>12</v>
      </c>
      <c r="I487">
        <v>75</v>
      </c>
      <c r="J487">
        <v>2.6</v>
      </c>
      <c r="K487" t="b">
        <v>0</v>
      </c>
      <c r="M487" s="1" t="s">
        <v>72</v>
      </c>
      <c r="N487" s="1" t="s">
        <v>21</v>
      </c>
      <c r="O487">
        <v>13</v>
      </c>
      <c r="P487">
        <v>13</v>
      </c>
      <c r="Q487" t="str">
        <f t="shared" si="36"/>
        <v>ANTONIO KING</v>
      </c>
      <c r="R487" t="str">
        <f t="shared" si="37"/>
        <v>turkey</v>
      </c>
      <c r="S487" t="str">
        <f>PROPER(global_freelancer_raw[[#This Row],[NAME UPPER]])</f>
        <v>Antonio King</v>
      </c>
      <c r="T487" t="str">
        <f t="shared" si="38"/>
        <v>Tu</v>
      </c>
      <c r="U487" t="str">
        <f t="shared" si="35"/>
        <v>nio Ki</v>
      </c>
      <c r="V487" t="str">
        <f t="shared" si="39"/>
        <v>86</v>
      </c>
    </row>
    <row r="488" spans="1:22" x14ac:dyDescent="0.3">
      <c r="A488" s="1" t="s">
        <v>1064</v>
      </c>
      <c r="B488" s="1" t="s">
        <v>684</v>
      </c>
      <c r="C488" s="1" t="s">
        <v>16</v>
      </c>
      <c r="D488">
        <v>48</v>
      </c>
      <c r="E488" s="1" t="s">
        <v>133</v>
      </c>
      <c r="F488" s="1" t="s">
        <v>134</v>
      </c>
      <c r="G488" s="1" t="s">
        <v>19</v>
      </c>
      <c r="H488">
        <v>13</v>
      </c>
      <c r="I488" t="s">
        <v>238</v>
      </c>
      <c r="J488">
        <v>2.7</v>
      </c>
      <c r="L488">
        <v>0.62</v>
      </c>
      <c r="M488" s="1" t="s">
        <v>72</v>
      </c>
      <c r="N488" s="1" t="s">
        <v>36</v>
      </c>
      <c r="O488">
        <v>8</v>
      </c>
      <c r="P488">
        <v>4</v>
      </c>
      <c r="Q488" t="str">
        <f t="shared" si="36"/>
        <v>AMY LEE</v>
      </c>
      <c r="R488" t="str">
        <f t="shared" si="37"/>
        <v>russia</v>
      </c>
      <c r="S488" t="str">
        <f>PROPER(global_freelancer_raw[[#This Row],[NAME UPPER]])</f>
        <v>Amy Lee</v>
      </c>
      <c r="T488" t="str">
        <f t="shared" si="38"/>
        <v>Ru</v>
      </c>
      <c r="U488" t="str">
        <f t="shared" si="35"/>
        <v>Lee</v>
      </c>
      <c r="V488" t="str">
        <f t="shared" si="39"/>
        <v>87</v>
      </c>
    </row>
    <row r="489" spans="1:22" x14ac:dyDescent="0.3">
      <c r="A489" s="1" t="s">
        <v>1065</v>
      </c>
      <c r="B489" s="1" t="s">
        <v>1066</v>
      </c>
      <c r="C489" s="1" t="s">
        <v>16</v>
      </c>
      <c r="D489">
        <v>24</v>
      </c>
      <c r="E489" s="1" t="s">
        <v>162</v>
      </c>
      <c r="F489" s="1" t="s">
        <v>163</v>
      </c>
      <c r="G489" s="1" t="s">
        <v>27</v>
      </c>
      <c r="H489">
        <v>6</v>
      </c>
      <c r="I489">
        <v>30</v>
      </c>
      <c r="J489">
        <v>1.1000000000000001</v>
      </c>
      <c r="K489" t="s">
        <v>76</v>
      </c>
      <c r="M489" s="1" t="s">
        <v>20</v>
      </c>
      <c r="N489" s="1" t="s">
        <v>21</v>
      </c>
      <c r="O489">
        <v>9</v>
      </c>
      <c r="P489">
        <v>9</v>
      </c>
      <c r="Q489" t="str">
        <f t="shared" si="36"/>
        <v>JENNIFER ROGERS</v>
      </c>
      <c r="R489" t="str">
        <f t="shared" si="37"/>
        <v>south africa</v>
      </c>
      <c r="S489" t="str">
        <f>PROPER(global_freelancer_raw[[#This Row],[NAME UPPER]])</f>
        <v>Jennifer Rogers</v>
      </c>
      <c r="T489" t="str">
        <f t="shared" si="38"/>
        <v>So</v>
      </c>
      <c r="U489" t="str">
        <f t="shared" si="35"/>
        <v>ifer R</v>
      </c>
      <c r="V489" t="str">
        <f t="shared" si="39"/>
        <v>88</v>
      </c>
    </row>
    <row r="490" spans="1:22" x14ac:dyDescent="0.3">
      <c r="A490" s="1" t="s">
        <v>1067</v>
      </c>
      <c r="B490" s="1" t="s">
        <v>1068</v>
      </c>
      <c r="C490" s="1" t="s">
        <v>68</v>
      </c>
      <c r="D490">
        <v>33</v>
      </c>
      <c r="E490" s="1" t="s">
        <v>55</v>
      </c>
      <c r="F490" s="1" t="s">
        <v>56</v>
      </c>
      <c r="G490" s="1" t="s">
        <v>40</v>
      </c>
      <c r="H490">
        <v>10</v>
      </c>
      <c r="I490" t="s">
        <v>118</v>
      </c>
      <c r="J490">
        <v>0</v>
      </c>
      <c r="K490" t="s">
        <v>76</v>
      </c>
      <c r="L490">
        <v>0.89</v>
      </c>
      <c r="M490" s="1" t="s">
        <v>51</v>
      </c>
      <c r="N490" s="1" t="s">
        <v>21</v>
      </c>
      <c r="O490">
        <v>11</v>
      </c>
      <c r="P490">
        <v>10</v>
      </c>
      <c r="Q490" t="str">
        <f t="shared" si="36"/>
        <v>JEFFREY COOPER</v>
      </c>
      <c r="R490" t="str">
        <f t="shared" si="37"/>
        <v>indonesia</v>
      </c>
      <c r="S490" t="str">
        <f>PROPER(global_freelancer_raw[[#This Row],[NAME UPPER]])</f>
        <v>Jeffrey Cooper</v>
      </c>
      <c r="T490" t="str">
        <f t="shared" si="38"/>
        <v>In</v>
      </c>
      <c r="U490" t="str">
        <f t="shared" si="35"/>
        <v>rey Co</v>
      </c>
      <c r="V490" t="str">
        <f t="shared" si="39"/>
        <v>89</v>
      </c>
    </row>
    <row r="491" spans="1:22" x14ac:dyDescent="0.3">
      <c r="A491" s="1" t="s">
        <v>1069</v>
      </c>
      <c r="B491" s="1" t="s">
        <v>1070</v>
      </c>
      <c r="C491" s="1" t="s">
        <v>86</v>
      </c>
      <c r="D491">
        <v>43</v>
      </c>
      <c r="E491" s="1" t="s">
        <v>116</v>
      </c>
      <c r="F491" s="1" t="s">
        <v>117</v>
      </c>
      <c r="G491" s="1" t="s">
        <v>82</v>
      </c>
      <c r="H491">
        <v>2</v>
      </c>
      <c r="I491" t="s">
        <v>41</v>
      </c>
      <c r="J491">
        <v>0</v>
      </c>
      <c r="K491" t="s">
        <v>76</v>
      </c>
      <c r="L491">
        <v>0.89</v>
      </c>
      <c r="M491" s="1" t="s">
        <v>20</v>
      </c>
      <c r="N491" s="1" t="s">
        <v>21</v>
      </c>
      <c r="O491">
        <v>5</v>
      </c>
      <c r="P491">
        <v>1</v>
      </c>
      <c r="Q491" t="str">
        <f t="shared" si="36"/>
        <v>ALLISON WILLIAMS</v>
      </c>
      <c r="R491" t="str">
        <f t="shared" si="37"/>
        <v>brazil</v>
      </c>
      <c r="S491" t="str">
        <f>PROPER(global_freelancer_raw[[#This Row],[NAME UPPER]])</f>
        <v>Allison Williams</v>
      </c>
      <c r="T491" t="str">
        <f t="shared" si="38"/>
        <v>Br</v>
      </c>
      <c r="U491" t="str">
        <f t="shared" si="35"/>
        <v>son Wi</v>
      </c>
      <c r="V491" t="str">
        <f t="shared" si="39"/>
        <v>90</v>
      </c>
    </row>
    <row r="492" spans="1:22" x14ac:dyDescent="0.3">
      <c r="A492" s="1" t="s">
        <v>1071</v>
      </c>
      <c r="B492" s="1" t="s">
        <v>1072</v>
      </c>
      <c r="C492" s="1" t="s">
        <v>101</v>
      </c>
      <c r="D492">
        <v>43</v>
      </c>
      <c r="E492" s="1" t="s">
        <v>199</v>
      </c>
      <c r="F492" s="1" t="s">
        <v>81</v>
      </c>
      <c r="G492" s="1" t="s">
        <v>19</v>
      </c>
      <c r="H492">
        <v>4</v>
      </c>
      <c r="I492">
        <v>50</v>
      </c>
      <c r="J492">
        <v>0</v>
      </c>
      <c r="K492" t="b">
        <v>1</v>
      </c>
      <c r="L492">
        <v>1</v>
      </c>
      <c r="M492" s="1" t="s">
        <v>51</v>
      </c>
      <c r="N492" s="1" t="s">
        <v>29</v>
      </c>
      <c r="O492">
        <v>2</v>
      </c>
      <c r="P492">
        <v>1</v>
      </c>
      <c r="Q492" t="str">
        <f t="shared" si="36"/>
        <v>RAYMOND SHERMAN</v>
      </c>
      <c r="R492" t="str">
        <f t="shared" si="37"/>
        <v>spain</v>
      </c>
      <c r="S492" t="str">
        <f>PROPER(global_freelancer_raw[[#This Row],[NAME UPPER]])</f>
        <v>Raymond Sherman</v>
      </c>
      <c r="T492" t="str">
        <f t="shared" si="38"/>
        <v>Sp</v>
      </c>
      <c r="U492" t="str">
        <f t="shared" si="35"/>
        <v>ond Sh</v>
      </c>
      <c r="V492" t="str">
        <f t="shared" si="39"/>
        <v>91</v>
      </c>
    </row>
    <row r="493" spans="1:22" x14ac:dyDescent="0.3">
      <c r="A493" s="1" t="s">
        <v>1073</v>
      </c>
      <c r="B493" s="1" t="s">
        <v>1074</v>
      </c>
      <c r="C493" s="1" t="s">
        <v>24</v>
      </c>
      <c r="D493">
        <v>33</v>
      </c>
      <c r="E493" s="1" t="s">
        <v>25</v>
      </c>
      <c r="F493" s="1" t="s">
        <v>26</v>
      </c>
      <c r="G493" s="1" t="s">
        <v>40</v>
      </c>
      <c r="H493">
        <v>11</v>
      </c>
      <c r="J493">
        <v>4.5999999999999996</v>
      </c>
      <c r="K493" t="s">
        <v>76</v>
      </c>
      <c r="M493" s="1" t="s">
        <v>77</v>
      </c>
      <c r="N493" s="1" t="s">
        <v>36</v>
      </c>
      <c r="O493">
        <v>15</v>
      </c>
      <c r="P493">
        <v>2</v>
      </c>
      <c r="Q493" t="str">
        <f t="shared" si="36"/>
        <v>JENNIFER NELSON</v>
      </c>
      <c r="R493" t="str">
        <f t="shared" si="37"/>
        <v>australia</v>
      </c>
      <c r="S493" t="str">
        <f>PROPER(global_freelancer_raw[[#This Row],[NAME UPPER]])</f>
        <v>Jennifer Nelson</v>
      </c>
      <c r="T493" t="str">
        <f t="shared" si="38"/>
        <v>Au</v>
      </c>
      <c r="U493" t="str">
        <f t="shared" si="35"/>
        <v>ifer N</v>
      </c>
      <c r="V493" t="str">
        <f t="shared" si="39"/>
        <v>92</v>
      </c>
    </row>
    <row r="494" spans="1:22" x14ac:dyDescent="0.3">
      <c r="A494" s="1" t="s">
        <v>1075</v>
      </c>
      <c r="B494" s="1" t="s">
        <v>1076</v>
      </c>
      <c r="C494" s="1" t="s">
        <v>24</v>
      </c>
      <c r="D494">
        <v>49</v>
      </c>
      <c r="E494" s="1" t="s">
        <v>133</v>
      </c>
      <c r="F494" s="1" t="s">
        <v>134</v>
      </c>
      <c r="G494" s="1" t="s">
        <v>82</v>
      </c>
      <c r="H494">
        <v>14</v>
      </c>
      <c r="I494">
        <v>40</v>
      </c>
      <c r="J494">
        <v>1.5</v>
      </c>
      <c r="L494">
        <v>0.6</v>
      </c>
      <c r="M494" s="1" t="s">
        <v>51</v>
      </c>
      <c r="N494" s="1" t="s">
        <v>65</v>
      </c>
      <c r="O494">
        <v>15</v>
      </c>
      <c r="P494">
        <v>10</v>
      </c>
      <c r="Q494" t="str">
        <f t="shared" si="36"/>
        <v>JENNIFER CARTER</v>
      </c>
      <c r="R494" t="str">
        <f t="shared" si="37"/>
        <v>russia</v>
      </c>
      <c r="S494" t="str">
        <f>PROPER(global_freelancer_raw[[#This Row],[NAME UPPER]])</f>
        <v>Jennifer Carter</v>
      </c>
      <c r="T494" t="str">
        <f t="shared" si="38"/>
        <v>Ru</v>
      </c>
      <c r="U494" t="str">
        <f t="shared" si="35"/>
        <v>ifer C</v>
      </c>
      <c r="V494" t="str">
        <f t="shared" si="39"/>
        <v>93</v>
      </c>
    </row>
    <row r="495" spans="1:22" x14ac:dyDescent="0.3">
      <c r="A495" s="1" t="s">
        <v>1077</v>
      </c>
      <c r="B495" s="1" t="s">
        <v>1078</v>
      </c>
      <c r="C495" s="1" t="s">
        <v>54</v>
      </c>
      <c r="D495">
        <v>55</v>
      </c>
      <c r="E495" s="1" t="s">
        <v>137</v>
      </c>
      <c r="F495" s="1" t="s">
        <v>26</v>
      </c>
      <c r="G495" s="1" t="s">
        <v>82</v>
      </c>
      <c r="H495">
        <v>10</v>
      </c>
      <c r="I495">
        <v>40</v>
      </c>
      <c r="J495">
        <v>2</v>
      </c>
      <c r="K495" t="s">
        <v>168</v>
      </c>
      <c r="L495">
        <v>0.85</v>
      </c>
      <c r="M495" s="1" t="s">
        <v>51</v>
      </c>
      <c r="N495" s="1" t="s">
        <v>36</v>
      </c>
      <c r="O495">
        <v>7</v>
      </c>
      <c r="P495">
        <v>6</v>
      </c>
      <c r="Q495" t="str">
        <f t="shared" si="36"/>
        <v>TODD WILLIAMS</v>
      </c>
      <c r="R495" t="str">
        <f t="shared" si="37"/>
        <v>canada</v>
      </c>
      <c r="S495" t="str">
        <f>PROPER(global_freelancer_raw[[#This Row],[NAME UPPER]])</f>
        <v>Todd Williams</v>
      </c>
      <c r="T495" t="str">
        <f t="shared" si="38"/>
        <v>Ca</v>
      </c>
      <c r="U495" t="str">
        <f t="shared" si="35"/>
        <v xml:space="preserve"> Willi</v>
      </c>
      <c r="V495" t="str">
        <f t="shared" si="39"/>
        <v>94</v>
      </c>
    </row>
    <row r="496" spans="1:22" x14ac:dyDescent="0.3">
      <c r="A496" s="1" t="s">
        <v>1079</v>
      </c>
      <c r="B496" s="1" t="s">
        <v>1080</v>
      </c>
      <c r="C496" s="1" t="s">
        <v>39</v>
      </c>
      <c r="D496">
        <v>33</v>
      </c>
      <c r="E496" s="1" t="s">
        <v>121</v>
      </c>
      <c r="F496" s="1" t="s">
        <v>122</v>
      </c>
      <c r="G496" s="1" t="s">
        <v>34</v>
      </c>
      <c r="H496">
        <v>3</v>
      </c>
      <c r="I496" t="s">
        <v>41</v>
      </c>
      <c r="J496">
        <v>1.6</v>
      </c>
      <c r="L496">
        <v>0.83</v>
      </c>
      <c r="M496" s="1" t="s">
        <v>77</v>
      </c>
      <c r="N496" s="1" t="s">
        <v>65</v>
      </c>
      <c r="O496">
        <v>4</v>
      </c>
      <c r="P496">
        <v>2</v>
      </c>
      <c r="Q496" t="str">
        <f t="shared" si="36"/>
        <v>EMILY HORTON</v>
      </c>
      <c r="R496" t="str">
        <f t="shared" si="37"/>
        <v>south korea</v>
      </c>
      <c r="S496" t="str">
        <f>PROPER(global_freelancer_raw[[#This Row],[NAME UPPER]])</f>
        <v>Emily Horton</v>
      </c>
      <c r="T496" t="str">
        <f t="shared" si="38"/>
        <v>So</v>
      </c>
      <c r="U496" t="str">
        <f t="shared" si="35"/>
        <v>y Hort</v>
      </c>
      <c r="V496" t="str">
        <f t="shared" si="39"/>
        <v>95</v>
      </c>
    </row>
    <row r="497" spans="1:22" x14ac:dyDescent="0.3">
      <c r="A497" s="1" t="s">
        <v>1081</v>
      </c>
      <c r="B497" s="1" t="s">
        <v>1082</v>
      </c>
      <c r="C497" s="1" t="s">
        <v>106</v>
      </c>
      <c r="D497">
        <v>32</v>
      </c>
      <c r="E497" s="1" t="s">
        <v>80</v>
      </c>
      <c r="F497" s="1" t="s">
        <v>81</v>
      </c>
      <c r="G497" s="1" t="s">
        <v>49</v>
      </c>
      <c r="H497">
        <v>3</v>
      </c>
      <c r="I497" t="s">
        <v>50</v>
      </c>
      <c r="J497">
        <v>1.5</v>
      </c>
      <c r="K497" t="s">
        <v>35</v>
      </c>
      <c r="L497">
        <v>0.96</v>
      </c>
      <c r="M497" s="1" t="s">
        <v>51</v>
      </c>
      <c r="N497" s="1" t="s">
        <v>29</v>
      </c>
      <c r="O497">
        <v>5</v>
      </c>
      <c r="P497">
        <v>1</v>
      </c>
      <c r="Q497" t="str">
        <f t="shared" si="36"/>
        <v>LANCE LESTER</v>
      </c>
      <c r="R497" t="str">
        <f t="shared" si="37"/>
        <v>argentina</v>
      </c>
      <c r="S497" t="str">
        <f>PROPER(global_freelancer_raw[[#This Row],[NAME UPPER]])</f>
        <v>Lance Lester</v>
      </c>
      <c r="T497" t="str">
        <f t="shared" si="38"/>
        <v>Ar</v>
      </c>
      <c r="U497" t="str">
        <f t="shared" si="35"/>
        <v>e Lest</v>
      </c>
      <c r="V497" t="str">
        <f t="shared" si="39"/>
        <v>96</v>
      </c>
    </row>
    <row r="498" spans="1:22" x14ac:dyDescent="0.3">
      <c r="A498" s="1" t="s">
        <v>1083</v>
      </c>
      <c r="B498" s="1" t="s">
        <v>1084</v>
      </c>
      <c r="C498" s="1" t="s">
        <v>54</v>
      </c>
      <c r="D498">
        <v>58</v>
      </c>
      <c r="E498" s="1" t="s">
        <v>47</v>
      </c>
      <c r="F498" s="1" t="s">
        <v>48</v>
      </c>
      <c r="G498" s="1" t="s">
        <v>19</v>
      </c>
      <c r="H498">
        <v>33</v>
      </c>
      <c r="J498">
        <v>4.0999999999999996</v>
      </c>
      <c r="K498" t="s">
        <v>83</v>
      </c>
      <c r="L498">
        <v>0.83</v>
      </c>
      <c r="M498" s="1" t="s">
        <v>20</v>
      </c>
      <c r="N498" s="1" t="s">
        <v>29</v>
      </c>
      <c r="O498">
        <v>19</v>
      </c>
      <c r="P498">
        <v>3</v>
      </c>
      <c r="Q498" t="str">
        <f t="shared" si="36"/>
        <v>KEVIN FLORES</v>
      </c>
      <c r="R498" t="str">
        <f t="shared" si="37"/>
        <v>netherlands</v>
      </c>
      <c r="S498" t="str">
        <f>PROPER(global_freelancer_raw[[#This Row],[NAME UPPER]])</f>
        <v>Kevin Flores</v>
      </c>
      <c r="T498" t="str">
        <f t="shared" si="38"/>
        <v>Ne</v>
      </c>
      <c r="U498" t="str">
        <f t="shared" si="35"/>
        <v>n Flor</v>
      </c>
      <c r="V498" t="str">
        <f t="shared" si="39"/>
        <v>97</v>
      </c>
    </row>
    <row r="499" spans="1:22" x14ac:dyDescent="0.3">
      <c r="A499" s="1" t="s">
        <v>1085</v>
      </c>
      <c r="B499" s="1" t="s">
        <v>1086</v>
      </c>
      <c r="C499" s="1" t="s">
        <v>32</v>
      </c>
      <c r="D499">
        <v>49</v>
      </c>
      <c r="E499" s="1" t="s">
        <v>55</v>
      </c>
      <c r="F499" s="1" t="s">
        <v>56</v>
      </c>
      <c r="G499" s="1" t="s">
        <v>57</v>
      </c>
      <c r="H499">
        <v>24</v>
      </c>
      <c r="I499">
        <v>100</v>
      </c>
      <c r="J499">
        <v>4.7</v>
      </c>
      <c r="K499">
        <v>0</v>
      </c>
      <c r="L499">
        <v>0.6</v>
      </c>
      <c r="M499" s="1" t="s">
        <v>51</v>
      </c>
      <c r="N499" s="1" t="s">
        <v>29</v>
      </c>
      <c r="O499">
        <v>20</v>
      </c>
      <c r="P499">
        <v>3</v>
      </c>
      <c r="Q499" t="str">
        <f t="shared" si="36"/>
        <v>AARON STEWART PHD</v>
      </c>
      <c r="R499" t="str">
        <f t="shared" si="37"/>
        <v>indonesia</v>
      </c>
      <c r="S499" t="str">
        <f>PROPER(global_freelancer_raw[[#This Row],[NAME UPPER]])</f>
        <v>Aaron Stewart Phd</v>
      </c>
      <c r="T499" t="str">
        <f t="shared" si="38"/>
        <v>In</v>
      </c>
      <c r="U499" t="str">
        <f t="shared" si="35"/>
        <v>n Stew</v>
      </c>
      <c r="V499" t="str">
        <f t="shared" si="39"/>
        <v>98</v>
      </c>
    </row>
    <row r="500" spans="1:22" x14ac:dyDescent="0.3">
      <c r="A500" s="1" t="s">
        <v>1087</v>
      </c>
      <c r="B500" s="1" t="s">
        <v>1088</v>
      </c>
      <c r="C500" s="1" t="s">
        <v>86</v>
      </c>
      <c r="D500">
        <v>22</v>
      </c>
      <c r="E500" s="1" t="s">
        <v>133</v>
      </c>
      <c r="F500" s="1" t="s">
        <v>134</v>
      </c>
      <c r="G500" s="1" t="s">
        <v>82</v>
      </c>
      <c r="H500">
        <v>3</v>
      </c>
      <c r="I500" t="s">
        <v>28</v>
      </c>
      <c r="J500">
        <v>3.6</v>
      </c>
      <c r="K500">
        <v>1</v>
      </c>
      <c r="L500">
        <v>0.78</v>
      </c>
      <c r="M500" s="1" t="s">
        <v>77</v>
      </c>
      <c r="N500" s="1" t="s">
        <v>29</v>
      </c>
      <c r="O500">
        <v>3</v>
      </c>
      <c r="P500">
        <v>4</v>
      </c>
      <c r="Q500" t="str">
        <f t="shared" si="36"/>
        <v>ROBIN MOORE</v>
      </c>
      <c r="R500" t="str">
        <f t="shared" si="37"/>
        <v>russia</v>
      </c>
      <c r="S500" t="str">
        <f>PROPER(global_freelancer_raw[[#This Row],[NAME UPPER]])</f>
        <v>Robin Moore</v>
      </c>
      <c r="T500" t="str">
        <f t="shared" si="38"/>
        <v>Ru</v>
      </c>
      <c r="U500" t="str">
        <f t="shared" si="35"/>
        <v>n Moor</v>
      </c>
      <c r="V500" t="str">
        <f t="shared" si="39"/>
        <v>99</v>
      </c>
    </row>
    <row r="501" spans="1:22" x14ac:dyDescent="0.3">
      <c r="A501" s="1" t="s">
        <v>1089</v>
      </c>
      <c r="B501" s="1" t="s">
        <v>1090</v>
      </c>
      <c r="C501" s="1" t="s">
        <v>16</v>
      </c>
      <c r="D501">
        <v>40</v>
      </c>
      <c r="E501" s="1" t="s">
        <v>148</v>
      </c>
      <c r="F501" s="1" t="s">
        <v>149</v>
      </c>
      <c r="G501" s="1" t="s">
        <v>40</v>
      </c>
      <c r="H501">
        <v>11</v>
      </c>
      <c r="I501" t="s">
        <v>130</v>
      </c>
      <c r="J501">
        <v>1.8</v>
      </c>
      <c r="K501">
        <v>1</v>
      </c>
      <c r="L501">
        <v>0.9</v>
      </c>
      <c r="M501" s="1" t="s">
        <v>20</v>
      </c>
      <c r="N501" s="1" t="s">
        <v>65</v>
      </c>
      <c r="O501">
        <v>13</v>
      </c>
      <c r="P501">
        <v>10</v>
      </c>
      <c r="Q501" t="str">
        <f t="shared" si="36"/>
        <v>SUZANNE INGRAM</v>
      </c>
      <c r="R501" t="str">
        <f t="shared" si="37"/>
        <v>egypt</v>
      </c>
      <c r="S501" t="str">
        <f>PROPER(global_freelancer_raw[[#This Row],[NAME UPPER]])</f>
        <v>Suzanne Ingram</v>
      </c>
      <c r="T501" t="str">
        <f t="shared" si="38"/>
        <v>Eg</v>
      </c>
      <c r="U501" t="str">
        <f t="shared" si="35"/>
        <v>nne In</v>
      </c>
      <c r="V501" t="str">
        <f t="shared" si="39"/>
        <v>00</v>
      </c>
    </row>
    <row r="502" spans="1:22" x14ac:dyDescent="0.3">
      <c r="A502" s="1" t="s">
        <v>1091</v>
      </c>
      <c r="B502" s="1" t="s">
        <v>1092</v>
      </c>
      <c r="C502" s="1" t="s">
        <v>54</v>
      </c>
      <c r="D502">
        <v>55</v>
      </c>
      <c r="E502" s="1" t="s">
        <v>25</v>
      </c>
      <c r="F502" s="1" t="s">
        <v>26</v>
      </c>
      <c r="G502" s="1" t="s">
        <v>57</v>
      </c>
      <c r="H502">
        <v>7</v>
      </c>
      <c r="I502" t="s">
        <v>28</v>
      </c>
      <c r="J502">
        <v>2.1</v>
      </c>
      <c r="K502">
        <v>0</v>
      </c>
      <c r="L502">
        <v>0.66</v>
      </c>
      <c r="M502" s="1" t="s">
        <v>77</v>
      </c>
      <c r="N502" s="1" t="s">
        <v>21</v>
      </c>
      <c r="O502">
        <v>8</v>
      </c>
      <c r="P502">
        <v>9</v>
      </c>
      <c r="Q502" t="str">
        <f t="shared" si="36"/>
        <v>JACOB MCLAUGHLIN</v>
      </c>
      <c r="R502" t="str">
        <f t="shared" si="37"/>
        <v>australia</v>
      </c>
      <c r="S502" t="str">
        <f>PROPER(global_freelancer_raw[[#This Row],[NAME UPPER]])</f>
        <v>Jacob Mclaughlin</v>
      </c>
      <c r="T502" t="str">
        <f t="shared" si="38"/>
        <v>Au</v>
      </c>
      <c r="U502" t="str">
        <f t="shared" si="35"/>
        <v>b Mcla</v>
      </c>
      <c r="V502" t="str">
        <f t="shared" si="39"/>
        <v>01</v>
      </c>
    </row>
    <row r="503" spans="1:22" x14ac:dyDescent="0.3">
      <c r="A503" s="1" t="s">
        <v>1093</v>
      </c>
      <c r="B503" s="1" t="s">
        <v>1094</v>
      </c>
      <c r="C503" s="1" t="s">
        <v>101</v>
      </c>
      <c r="D503">
        <v>32</v>
      </c>
      <c r="E503" s="1" t="s">
        <v>188</v>
      </c>
      <c r="F503" s="1" t="s">
        <v>81</v>
      </c>
      <c r="G503" s="1" t="s">
        <v>98</v>
      </c>
      <c r="H503">
        <v>1</v>
      </c>
      <c r="I503" t="s">
        <v>71</v>
      </c>
      <c r="K503" t="s">
        <v>76</v>
      </c>
      <c r="L503">
        <v>0.7</v>
      </c>
      <c r="M503" s="1" t="s">
        <v>77</v>
      </c>
      <c r="N503" s="1" t="s">
        <v>65</v>
      </c>
      <c r="O503">
        <v>4</v>
      </c>
      <c r="P503">
        <v>5</v>
      </c>
      <c r="Q503" t="str">
        <f t="shared" si="36"/>
        <v>MICHAEL NUNEZ</v>
      </c>
      <c r="R503" t="str">
        <f t="shared" si="37"/>
        <v>mexico</v>
      </c>
      <c r="S503" t="str">
        <f>PROPER(global_freelancer_raw[[#This Row],[NAME UPPER]])</f>
        <v>Michael Nunez</v>
      </c>
      <c r="T503" t="str">
        <f t="shared" si="38"/>
        <v>Me</v>
      </c>
      <c r="U503" t="str">
        <f t="shared" si="35"/>
        <v>ael Nu</v>
      </c>
      <c r="V503" t="str">
        <f t="shared" si="39"/>
        <v>02</v>
      </c>
    </row>
    <row r="504" spans="1:22" x14ac:dyDescent="0.3">
      <c r="A504" s="1" t="s">
        <v>1095</v>
      </c>
      <c r="B504" s="1" t="s">
        <v>1096</v>
      </c>
      <c r="C504" s="1" t="s">
        <v>24</v>
      </c>
      <c r="D504">
        <v>21</v>
      </c>
      <c r="E504" s="1" t="s">
        <v>94</v>
      </c>
      <c r="F504" s="1" t="s">
        <v>95</v>
      </c>
      <c r="G504" s="1" t="s">
        <v>82</v>
      </c>
      <c r="H504">
        <v>0</v>
      </c>
      <c r="I504" t="s">
        <v>118</v>
      </c>
      <c r="J504">
        <v>4.2</v>
      </c>
      <c r="K504" t="s">
        <v>76</v>
      </c>
      <c r="L504">
        <v>0.79</v>
      </c>
      <c r="M504" s="1" t="s">
        <v>72</v>
      </c>
      <c r="N504" s="1" t="s">
        <v>36</v>
      </c>
      <c r="O504">
        <v>3</v>
      </c>
      <c r="P504">
        <v>2</v>
      </c>
      <c r="Q504" t="str">
        <f t="shared" si="36"/>
        <v>ISABEL BROWN</v>
      </c>
      <c r="R504" t="str">
        <f t="shared" si="37"/>
        <v>japan</v>
      </c>
      <c r="S504" t="str">
        <f>PROPER(global_freelancer_raw[[#This Row],[NAME UPPER]])</f>
        <v>Isabel Brown</v>
      </c>
      <c r="T504" t="str">
        <f t="shared" si="38"/>
        <v>Ja</v>
      </c>
      <c r="U504" t="str">
        <f t="shared" si="35"/>
        <v>el Bro</v>
      </c>
      <c r="V504" t="str">
        <f t="shared" si="39"/>
        <v>03</v>
      </c>
    </row>
    <row r="505" spans="1:22" x14ac:dyDescent="0.3">
      <c r="A505" s="1" t="s">
        <v>1097</v>
      </c>
      <c r="B505" s="1" t="s">
        <v>1098</v>
      </c>
      <c r="C505" s="1" t="s">
        <v>101</v>
      </c>
      <c r="D505">
        <v>23</v>
      </c>
      <c r="E505" s="1" t="s">
        <v>121</v>
      </c>
      <c r="F505" s="1" t="s">
        <v>122</v>
      </c>
      <c r="G505" s="1" t="s">
        <v>19</v>
      </c>
      <c r="H505">
        <v>1</v>
      </c>
      <c r="I505">
        <v>40</v>
      </c>
      <c r="J505">
        <v>0</v>
      </c>
      <c r="K505">
        <v>0</v>
      </c>
      <c r="L505">
        <v>0.64</v>
      </c>
      <c r="M505" s="1" t="s">
        <v>72</v>
      </c>
      <c r="N505" s="1" t="s">
        <v>29</v>
      </c>
      <c r="O505">
        <v>2</v>
      </c>
      <c r="P505">
        <v>3</v>
      </c>
      <c r="Q505" t="str">
        <f t="shared" si="36"/>
        <v>MICHAEL STEIN</v>
      </c>
      <c r="R505" t="str">
        <f t="shared" si="37"/>
        <v>south korea</v>
      </c>
      <c r="S505" t="str">
        <f>PROPER(global_freelancer_raw[[#This Row],[NAME UPPER]])</f>
        <v>Michael Stein</v>
      </c>
      <c r="T505" t="str">
        <f t="shared" si="38"/>
        <v>So</v>
      </c>
      <c r="U505" t="str">
        <f t="shared" si="35"/>
        <v>ael St</v>
      </c>
      <c r="V505" t="str">
        <f t="shared" si="39"/>
        <v>04</v>
      </c>
    </row>
    <row r="506" spans="1:22" x14ac:dyDescent="0.3">
      <c r="A506" s="1" t="s">
        <v>1099</v>
      </c>
      <c r="B506" s="1" t="s">
        <v>1100</v>
      </c>
      <c r="C506" s="1" t="s">
        <v>106</v>
      </c>
      <c r="D506">
        <v>21</v>
      </c>
      <c r="E506" s="1" t="s">
        <v>75</v>
      </c>
      <c r="F506" s="1" t="s">
        <v>26</v>
      </c>
      <c r="G506" s="1" t="s">
        <v>27</v>
      </c>
      <c r="H506">
        <v>1</v>
      </c>
      <c r="I506" t="s">
        <v>118</v>
      </c>
      <c r="J506">
        <v>1</v>
      </c>
      <c r="K506" t="s">
        <v>35</v>
      </c>
      <c r="L506">
        <v>0.81</v>
      </c>
      <c r="M506" s="1" t="s">
        <v>77</v>
      </c>
      <c r="N506" s="1" t="s">
        <v>29</v>
      </c>
      <c r="O506">
        <v>1</v>
      </c>
      <c r="P506">
        <v>3</v>
      </c>
      <c r="Q506" t="str">
        <f t="shared" si="36"/>
        <v>ROBERT STONE</v>
      </c>
      <c r="R506" t="str">
        <f t="shared" si="37"/>
        <v>uk</v>
      </c>
      <c r="S506" t="str">
        <f>PROPER(global_freelancer_raw[[#This Row],[NAME UPPER]])</f>
        <v>Robert Stone</v>
      </c>
      <c r="T506" t="str">
        <f t="shared" si="38"/>
        <v>UK</v>
      </c>
      <c r="U506" t="str">
        <f t="shared" si="35"/>
        <v>rt Sto</v>
      </c>
      <c r="V506" t="str">
        <f t="shared" si="39"/>
        <v>05</v>
      </c>
    </row>
    <row r="507" spans="1:22" x14ac:dyDescent="0.3">
      <c r="A507" s="1" t="s">
        <v>1101</v>
      </c>
      <c r="B507" s="1" t="s">
        <v>1102</v>
      </c>
      <c r="C507" s="1" t="s">
        <v>106</v>
      </c>
      <c r="D507">
        <v>31</v>
      </c>
      <c r="E507" s="1" t="s">
        <v>80</v>
      </c>
      <c r="F507" s="1" t="s">
        <v>81</v>
      </c>
      <c r="G507" s="1" t="s">
        <v>49</v>
      </c>
      <c r="H507">
        <v>7</v>
      </c>
      <c r="I507">
        <v>75</v>
      </c>
      <c r="J507">
        <v>4.4000000000000004</v>
      </c>
      <c r="K507">
        <v>0</v>
      </c>
      <c r="L507">
        <v>0.83</v>
      </c>
      <c r="M507" s="1" t="s">
        <v>77</v>
      </c>
      <c r="N507" s="1" t="s">
        <v>36</v>
      </c>
      <c r="O507">
        <v>12</v>
      </c>
      <c r="P507">
        <v>6</v>
      </c>
      <c r="Q507" t="str">
        <f t="shared" si="36"/>
        <v>DILLON HENRY</v>
      </c>
      <c r="R507" t="str">
        <f t="shared" si="37"/>
        <v>argentina</v>
      </c>
      <c r="S507" t="str">
        <f>PROPER(global_freelancer_raw[[#This Row],[NAME UPPER]])</f>
        <v>Dillon Henry</v>
      </c>
      <c r="T507" t="str">
        <f t="shared" si="38"/>
        <v>Ar</v>
      </c>
      <c r="U507" t="str">
        <f t="shared" si="35"/>
        <v>on Hen</v>
      </c>
      <c r="V507" t="str">
        <f t="shared" si="39"/>
        <v>06</v>
      </c>
    </row>
    <row r="508" spans="1:22" x14ac:dyDescent="0.3">
      <c r="A508" s="1" t="s">
        <v>1103</v>
      </c>
      <c r="B508" s="1" t="s">
        <v>1104</v>
      </c>
      <c r="C508" s="1" t="s">
        <v>101</v>
      </c>
      <c r="D508">
        <v>21</v>
      </c>
      <c r="E508" s="1" t="s">
        <v>188</v>
      </c>
      <c r="F508" s="1" t="s">
        <v>81</v>
      </c>
      <c r="G508" s="1" t="s">
        <v>19</v>
      </c>
      <c r="I508">
        <v>40</v>
      </c>
      <c r="J508">
        <v>4</v>
      </c>
      <c r="K508">
        <v>0</v>
      </c>
      <c r="L508">
        <v>0.91</v>
      </c>
      <c r="M508" s="1" t="s">
        <v>77</v>
      </c>
      <c r="N508" s="1" t="s">
        <v>65</v>
      </c>
      <c r="O508">
        <v>2</v>
      </c>
      <c r="P508">
        <v>1</v>
      </c>
      <c r="Q508" t="str">
        <f t="shared" si="36"/>
        <v>JAMES TODD</v>
      </c>
      <c r="R508" t="str">
        <f t="shared" si="37"/>
        <v>mexico</v>
      </c>
      <c r="S508" t="str">
        <f>PROPER(global_freelancer_raw[[#This Row],[NAME UPPER]])</f>
        <v>James Todd</v>
      </c>
      <c r="T508" t="str">
        <f t="shared" si="38"/>
        <v>Me</v>
      </c>
      <c r="U508" t="str">
        <f t="shared" si="35"/>
        <v>s Todd</v>
      </c>
      <c r="V508" t="str">
        <f t="shared" si="39"/>
        <v>07</v>
      </c>
    </row>
    <row r="509" spans="1:22" x14ac:dyDescent="0.3">
      <c r="A509" s="1" t="s">
        <v>1105</v>
      </c>
      <c r="B509" s="1" t="s">
        <v>1106</v>
      </c>
      <c r="C509" s="1" t="s">
        <v>32</v>
      </c>
      <c r="D509">
        <v>33</v>
      </c>
      <c r="E509" s="1" t="s">
        <v>75</v>
      </c>
      <c r="F509" s="1" t="s">
        <v>26</v>
      </c>
      <c r="G509" s="1" t="s">
        <v>87</v>
      </c>
      <c r="H509">
        <v>6</v>
      </c>
      <c r="I509" t="s">
        <v>107</v>
      </c>
      <c r="J509">
        <v>3.1</v>
      </c>
      <c r="K509" t="s">
        <v>35</v>
      </c>
      <c r="M509" s="1" t="s">
        <v>72</v>
      </c>
      <c r="N509" s="1" t="s">
        <v>21</v>
      </c>
      <c r="O509">
        <v>15</v>
      </c>
      <c r="P509">
        <v>9</v>
      </c>
      <c r="Q509" t="str">
        <f t="shared" si="36"/>
        <v>CLIFFORD MOORE MD</v>
      </c>
      <c r="R509" t="str">
        <f t="shared" si="37"/>
        <v>uk</v>
      </c>
      <c r="S509" t="str">
        <f>PROPER(global_freelancer_raw[[#This Row],[NAME UPPER]])</f>
        <v>Clifford Moore Md</v>
      </c>
      <c r="T509" t="str">
        <f t="shared" si="38"/>
        <v>UK</v>
      </c>
      <c r="U509" t="str">
        <f t="shared" si="35"/>
        <v>ford M</v>
      </c>
      <c r="V509" t="str">
        <f t="shared" si="39"/>
        <v>08</v>
      </c>
    </row>
    <row r="510" spans="1:22" x14ac:dyDescent="0.3">
      <c r="A510" s="1" t="s">
        <v>1107</v>
      </c>
      <c r="B510" s="1" t="s">
        <v>1108</v>
      </c>
      <c r="C510" s="1" t="s">
        <v>54</v>
      </c>
      <c r="D510">
        <v>57</v>
      </c>
      <c r="E510" s="1" t="s">
        <v>116</v>
      </c>
      <c r="F510" s="1" t="s">
        <v>117</v>
      </c>
      <c r="G510" s="1" t="s">
        <v>40</v>
      </c>
      <c r="H510">
        <v>5</v>
      </c>
      <c r="I510">
        <v>75</v>
      </c>
      <c r="J510">
        <v>1.1000000000000001</v>
      </c>
      <c r="K510" t="b">
        <v>1</v>
      </c>
      <c r="L510">
        <v>0.77</v>
      </c>
      <c r="M510" s="1" t="s">
        <v>72</v>
      </c>
      <c r="N510" s="1" t="s">
        <v>21</v>
      </c>
      <c r="O510">
        <v>2</v>
      </c>
      <c r="P510">
        <v>3</v>
      </c>
      <c r="Q510" t="str">
        <f t="shared" si="36"/>
        <v>JOHN RIOS</v>
      </c>
      <c r="R510" t="str">
        <f t="shared" si="37"/>
        <v>brazil</v>
      </c>
      <c r="S510" t="str">
        <f>PROPER(global_freelancer_raw[[#This Row],[NAME UPPER]])</f>
        <v>John Rios</v>
      </c>
      <c r="T510" t="str">
        <f t="shared" si="38"/>
        <v>Br</v>
      </c>
      <c r="U510" t="str">
        <f t="shared" si="35"/>
        <v xml:space="preserve"> Rios</v>
      </c>
      <c r="V510" t="str">
        <f t="shared" si="39"/>
        <v>09</v>
      </c>
    </row>
    <row r="511" spans="1:22" x14ac:dyDescent="0.3">
      <c r="A511" s="1" t="s">
        <v>1109</v>
      </c>
      <c r="B511" s="1" t="s">
        <v>1110</v>
      </c>
      <c r="C511" s="1" t="s">
        <v>54</v>
      </c>
      <c r="D511">
        <v>52</v>
      </c>
      <c r="E511" s="1" t="s">
        <v>64</v>
      </c>
      <c r="F511" s="1" t="s">
        <v>26</v>
      </c>
      <c r="G511" s="1" t="s">
        <v>98</v>
      </c>
      <c r="H511">
        <v>17</v>
      </c>
      <c r="I511" t="s">
        <v>58</v>
      </c>
      <c r="J511">
        <v>0</v>
      </c>
      <c r="K511">
        <v>0</v>
      </c>
      <c r="L511">
        <v>0.94</v>
      </c>
      <c r="M511" s="1" t="s">
        <v>51</v>
      </c>
      <c r="N511" s="1" t="s">
        <v>36</v>
      </c>
      <c r="O511">
        <v>18</v>
      </c>
      <c r="P511">
        <v>6</v>
      </c>
      <c r="Q511" t="str">
        <f t="shared" si="36"/>
        <v>ANTHONY GAINES</v>
      </c>
      <c r="R511" t="str">
        <f t="shared" si="37"/>
        <v>us</v>
      </c>
      <c r="S511" t="str">
        <f>PROPER(global_freelancer_raw[[#This Row],[NAME UPPER]])</f>
        <v>Anthony Gaines</v>
      </c>
      <c r="T511" t="str">
        <f t="shared" si="38"/>
        <v>US</v>
      </c>
      <c r="U511" t="str">
        <f t="shared" si="35"/>
        <v>ony Ga</v>
      </c>
      <c r="V511" t="str">
        <f t="shared" si="39"/>
        <v>10</v>
      </c>
    </row>
    <row r="512" spans="1:22" x14ac:dyDescent="0.3">
      <c r="A512" s="1" t="s">
        <v>1111</v>
      </c>
      <c r="B512" s="1" t="s">
        <v>1112</v>
      </c>
      <c r="C512" s="1" t="s">
        <v>86</v>
      </c>
      <c r="D512">
        <v>21</v>
      </c>
      <c r="E512" s="1" t="s">
        <v>33</v>
      </c>
      <c r="F512" s="1" t="s">
        <v>33</v>
      </c>
      <c r="G512" s="1" t="s">
        <v>40</v>
      </c>
      <c r="H512">
        <v>0</v>
      </c>
      <c r="I512" t="s">
        <v>130</v>
      </c>
      <c r="J512">
        <v>3.8</v>
      </c>
      <c r="K512">
        <v>1</v>
      </c>
      <c r="L512">
        <v>0.61</v>
      </c>
      <c r="M512" s="1" t="s">
        <v>51</v>
      </c>
      <c r="N512" s="1" t="s">
        <v>21</v>
      </c>
      <c r="O512">
        <v>5</v>
      </c>
      <c r="P512">
        <v>2</v>
      </c>
      <c r="Q512" t="str">
        <f t="shared" si="36"/>
        <v>KRISTI BROWN DVM</v>
      </c>
      <c r="R512" t="str">
        <f t="shared" si="37"/>
        <v>germany</v>
      </c>
      <c r="S512" t="str">
        <f>PROPER(global_freelancer_raw[[#This Row],[NAME UPPER]])</f>
        <v>Kristi Brown Dvm</v>
      </c>
      <c r="T512" t="str">
        <f t="shared" si="38"/>
        <v>Ge</v>
      </c>
      <c r="U512" t="str">
        <f t="shared" si="35"/>
        <v>ti Bro</v>
      </c>
      <c r="V512" t="str">
        <f t="shared" si="39"/>
        <v>11</v>
      </c>
    </row>
    <row r="513" spans="1:22" x14ac:dyDescent="0.3">
      <c r="A513" s="1" t="s">
        <v>1113</v>
      </c>
      <c r="B513" s="1" t="s">
        <v>1114</v>
      </c>
      <c r="C513" s="1" t="s">
        <v>24</v>
      </c>
      <c r="D513">
        <v>36</v>
      </c>
      <c r="E513" s="1" t="s">
        <v>80</v>
      </c>
      <c r="F513" s="1" t="s">
        <v>81</v>
      </c>
      <c r="G513" s="1" t="s">
        <v>82</v>
      </c>
      <c r="H513">
        <v>8</v>
      </c>
      <c r="I513">
        <v>100</v>
      </c>
      <c r="J513">
        <v>1.7</v>
      </c>
      <c r="K513" t="s">
        <v>35</v>
      </c>
      <c r="L513">
        <v>0.68</v>
      </c>
      <c r="M513" s="1" t="s">
        <v>77</v>
      </c>
      <c r="N513" s="1" t="s">
        <v>65</v>
      </c>
      <c r="O513">
        <v>9</v>
      </c>
      <c r="P513">
        <v>5</v>
      </c>
      <c r="Q513" t="str">
        <f t="shared" si="36"/>
        <v>ASHLEY ODONNELL</v>
      </c>
      <c r="R513" t="str">
        <f t="shared" si="37"/>
        <v>argentina</v>
      </c>
      <c r="S513" t="str">
        <f>PROPER(global_freelancer_raw[[#This Row],[NAME UPPER]])</f>
        <v>Ashley Odonnell</v>
      </c>
      <c r="T513" t="str">
        <f t="shared" si="38"/>
        <v>Ar</v>
      </c>
      <c r="U513" t="str">
        <f t="shared" si="35"/>
        <v>ey Odo</v>
      </c>
      <c r="V513" t="str">
        <f t="shared" si="39"/>
        <v>12</v>
      </c>
    </row>
    <row r="514" spans="1:22" x14ac:dyDescent="0.3">
      <c r="A514" s="1" t="s">
        <v>1115</v>
      </c>
      <c r="B514" s="1" t="s">
        <v>1116</v>
      </c>
      <c r="C514" s="1" t="s">
        <v>32</v>
      </c>
      <c r="D514">
        <v>33</v>
      </c>
      <c r="E514" s="1" t="s">
        <v>199</v>
      </c>
      <c r="F514" s="1" t="s">
        <v>81</v>
      </c>
      <c r="G514" s="1" t="s">
        <v>123</v>
      </c>
      <c r="H514">
        <v>13</v>
      </c>
      <c r="I514">
        <v>50</v>
      </c>
      <c r="J514">
        <v>2.2000000000000002</v>
      </c>
      <c r="K514" t="s">
        <v>35</v>
      </c>
      <c r="L514">
        <v>0.7</v>
      </c>
      <c r="M514" s="1" t="s">
        <v>20</v>
      </c>
      <c r="N514" s="1" t="s">
        <v>65</v>
      </c>
      <c r="O514">
        <v>8</v>
      </c>
      <c r="P514">
        <v>10</v>
      </c>
      <c r="Q514" t="str">
        <f t="shared" si="36"/>
        <v>RONALD ELLIOTT</v>
      </c>
      <c r="R514" t="str">
        <f t="shared" si="37"/>
        <v>spain</v>
      </c>
      <c r="S514" t="str">
        <f>PROPER(global_freelancer_raw[[#This Row],[NAME UPPER]])</f>
        <v>Ronald Elliott</v>
      </c>
      <c r="T514" t="str">
        <f t="shared" si="38"/>
        <v>Sp</v>
      </c>
      <c r="U514" t="str">
        <f t="shared" ref="U514:U577" si="40">MID(B514,5,6)</f>
        <v>ld Ell</v>
      </c>
      <c r="V514" t="str">
        <f t="shared" si="39"/>
        <v>13</v>
      </c>
    </row>
    <row r="515" spans="1:22" x14ac:dyDescent="0.3">
      <c r="A515" s="1" t="s">
        <v>1117</v>
      </c>
      <c r="B515" s="1" t="s">
        <v>1118</v>
      </c>
      <c r="C515" s="1" t="s">
        <v>39</v>
      </c>
      <c r="D515">
        <v>54</v>
      </c>
      <c r="E515" s="1" t="s">
        <v>75</v>
      </c>
      <c r="F515" s="1" t="s">
        <v>26</v>
      </c>
      <c r="G515" s="1" t="s">
        <v>57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s="1" t="s">
        <v>20</v>
      </c>
      <c r="N515" s="1" t="s">
        <v>36</v>
      </c>
      <c r="O515">
        <v>14</v>
      </c>
      <c r="P515">
        <v>6</v>
      </c>
      <c r="Q515" t="str">
        <f t="shared" ref="Q515:Q578" si="41">UPPER(B515)</f>
        <v>LORRAINE LOWERY</v>
      </c>
      <c r="R515" t="str">
        <f t="shared" ref="R515:R578" si="42">LOWER(E515)</f>
        <v>uk</v>
      </c>
      <c r="S515" t="str">
        <f>PROPER(global_freelancer_raw[[#This Row],[NAME UPPER]])</f>
        <v>Lorraine Lowery</v>
      </c>
      <c r="T515" t="str">
        <f t="shared" ref="T515:T578" si="43">LEFT(E515,"2")</f>
        <v>UK</v>
      </c>
      <c r="U515" t="str">
        <f t="shared" si="40"/>
        <v>aine L</v>
      </c>
      <c r="V515" t="str">
        <f t="shared" ref="V515:V578" si="44">RIGHT(A515,"2")</f>
        <v>14</v>
      </c>
    </row>
    <row r="516" spans="1:22" x14ac:dyDescent="0.3">
      <c r="A516" s="1" t="s">
        <v>1119</v>
      </c>
      <c r="B516" s="1" t="s">
        <v>1120</v>
      </c>
      <c r="C516" s="1" t="s">
        <v>44</v>
      </c>
      <c r="D516">
        <v>33</v>
      </c>
      <c r="E516" s="1" t="s">
        <v>64</v>
      </c>
      <c r="F516" s="1" t="s">
        <v>26</v>
      </c>
      <c r="G516" s="1" t="s">
        <v>19</v>
      </c>
      <c r="H516">
        <v>2</v>
      </c>
      <c r="I516" t="s">
        <v>28</v>
      </c>
      <c r="J516">
        <v>3.8</v>
      </c>
      <c r="K516" t="b">
        <v>0</v>
      </c>
      <c r="M516" s="1" t="s">
        <v>72</v>
      </c>
      <c r="N516" s="1" t="s">
        <v>65</v>
      </c>
      <c r="O516">
        <v>1</v>
      </c>
      <c r="P516">
        <v>1</v>
      </c>
      <c r="Q516" t="str">
        <f t="shared" si="41"/>
        <v>VICTORIA CHAPMAN</v>
      </c>
      <c r="R516" t="str">
        <f t="shared" si="42"/>
        <v>us</v>
      </c>
      <c r="S516" t="str">
        <f>PROPER(global_freelancer_raw[[#This Row],[NAME UPPER]])</f>
        <v>Victoria Chapman</v>
      </c>
      <c r="T516" t="str">
        <f t="shared" si="43"/>
        <v>US</v>
      </c>
      <c r="U516" t="str">
        <f t="shared" si="40"/>
        <v>oria C</v>
      </c>
      <c r="V516" t="str">
        <f t="shared" si="44"/>
        <v>15</v>
      </c>
    </row>
    <row r="517" spans="1:22" x14ac:dyDescent="0.3">
      <c r="A517" s="1" t="s">
        <v>1121</v>
      </c>
      <c r="B517" s="1" t="s">
        <v>1122</v>
      </c>
      <c r="C517" s="1" t="s">
        <v>44</v>
      </c>
      <c r="D517">
        <v>36</v>
      </c>
      <c r="E517" s="1" t="s">
        <v>94</v>
      </c>
      <c r="F517" s="1" t="s">
        <v>95</v>
      </c>
      <c r="G517" s="1" t="s">
        <v>123</v>
      </c>
      <c r="H517">
        <v>9</v>
      </c>
      <c r="I517" t="s">
        <v>50</v>
      </c>
      <c r="J517">
        <v>0</v>
      </c>
      <c r="K517" t="s">
        <v>76</v>
      </c>
      <c r="L517">
        <v>0.78</v>
      </c>
      <c r="M517" s="1" t="s">
        <v>72</v>
      </c>
      <c r="N517" s="1" t="s">
        <v>29</v>
      </c>
      <c r="O517">
        <v>12</v>
      </c>
      <c r="P517">
        <v>1</v>
      </c>
      <c r="Q517" t="str">
        <f t="shared" si="41"/>
        <v>HEATHER DAVIS</v>
      </c>
      <c r="R517" t="str">
        <f t="shared" si="42"/>
        <v>japan</v>
      </c>
      <c r="S517" t="str">
        <f>PROPER(global_freelancer_raw[[#This Row],[NAME UPPER]])</f>
        <v>Heather Davis</v>
      </c>
      <c r="T517" t="str">
        <f t="shared" si="43"/>
        <v>Ja</v>
      </c>
      <c r="U517" t="str">
        <f t="shared" si="40"/>
        <v>her Da</v>
      </c>
      <c r="V517" t="str">
        <f t="shared" si="44"/>
        <v>16</v>
      </c>
    </row>
    <row r="518" spans="1:22" x14ac:dyDescent="0.3">
      <c r="A518" s="1" t="s">
        <v>1123</v>
      </c>
      <c r="B518" s="1" t="s">
        <v>1124</v>
      </c>
      <c r="C518" s="1" t="s">
        <v>24</v>
      </c>
      <c r="D518">
        <v>36</v>
      </c>
      <c r="E518" s="1" t="s">
        <v>69</v>
      </c>
      <c r="F518" s="1" t="s">
        <v>70</v>
      </c>
      <c r="G518" s="1" t="s">
        <v>49</v>
      </c>
      <c r="H518">
        <v>3</v>
      </c>
      <c r="I518" t="s">
        <v>107</v>
      </c>
      <c r="J518">
        <v>0</v>
      </c>
      <c r="K518" t="s">
        <v>168</v>
      </c>
      <c r="L518">
        <v>75</v>
      </c>
      <c r="M518" s="1" t="s">
        <v>72</v>
      </c>
      <c r="N518" s="1" t="s">
        <v>36</v>
      </c>
      <c r="O518">
        <v>2</v>
      </c>
      <c r="P518">
        <v>3</v>
      </c>
      <c r="Q518" t="str">
        <f t="shared" si="41"/>
        <v>DIANA CHASE</v>
      </c>
      <c r="R518" t="str">
        <f t="shared" si="42"/>
        <v>turkey</v>
      </c>
      <c r="S518" t="str">
        <f>PROPER(global_freelancer_raw[[#This Row],[NAME UPPER]])</f>
        <v>Diana Chase</v>
      </c>
      <c r="T518" t="str">
        <f t="shared" si="43"/>
        <v>Tu</v>
      </c>
      <c r="U518" t="str">
        <f t="shared" si="40"/>
        <v>a Chas</v>
      </c>
      <c r="V518" t="str">
        <f t="shared" si="44"/>
        <v>17</v>
      </c>
    </row>
    <row r="519" spans="1:22" x14ac:dyDescent="0.3">
      <c r="A519" s="1" t="s">
        <v>1125</v>
      </c>
      <c r="B519" s="1" t="s">
        <v>1126</v>
      </c>
      <c r="C519" s="1" t="s">
        <v>39</v>
      </c>
      <c r="D519">
        <v>43</v>
      </c>
      <c r="E519" s="1" t="s">
        <v>184</v>
      </c>
      <c r="F519" s="1" t="s">
        <v>185</v>
      </c>
      <c r="G519" s="1" t="s">
        <v>49</v>
      </c>
      <c r="H519">
        <v>15</v>
      </c>
      <c r="I519" t="s">
        <v>130</v>
      </c>
      <c r="J519">
        <v>4.2</v>
      </c>
      <c r="K519" t="b">
        <v>1</v>
      </c>
      <c r="L519">
        <v>0.91</v>
      </c>
      <c r="M519" s="1" t="s">
        <v>77</v>
      </c>
      <c r="N519" s="1" t="s">
        <v>65</v>
      </c>
      <c r="O519">
        <v>6</v>
      </c>
      <c r="P519">
        <v>9</v>
      </c>
      <c r="Q519" t="str">
        <f t="shared" si="41"/>
        <v>DANIELLE ADKINS</v>
      </c>
      <c r="R519" t="str">
        <f t="shared" si="42"/>
        <v>china</v>
      </c>
      <c r="S519" t="str">
        <f>PROPER(global_freelancer_raw[[#This Row],[NAME UPPER]])</f>
        <v>Danielle Adkins</v>
      </c>
      <c r="T519" t="str">
        <f t="shared" si="43"/>
        <v>Ch</v>
      </c>
      <c r="U519" t="str">
        <f t="shared" si="40"/>
        <v>elle A</v>
      </c>
      <c r="V519" t="str">
        <f t="shared" si="44"/>
        <v>18</v>
      </c>
    </row>
    <row r="520" spans="1:22" x14ac:dyDescent="0.3">
      <c r="A520" s="1" t="s">
        <v>1127</v>
      </c>
      <c r="B520" s="1" t="s">
        <v>1128</v>
      </c>
      <c r="C520" s="1" t="s">
        <v>106</v>
      </c>
      <c r="D520">
        <v>52</v>
      </c>
      <c r="E520" s="1" t="s">
        <v>75</v>
      </c>
      <c r="F520" s="1" t="s">
        <v>26</v>
      </c>
      <c r="G520" s="1" t="s">
        <v>57</v>
      </c>
      <c r="H520">
        <v>21</v>
      </c>
      <c r="I520" t="s">
        <v>58</v>
      </c>
      <c r="J520">
        <v>2.2000000000000002</v>
      </c>
      <c r="K520">
        <v>1</v>
      </c>
      <c r="L520">
        <v>0.66</v>
      </c>
      <c r="M520" s="1" t="s">
        <v>20</v>
      </c>
      <c r="N520" s="1" t="s">
        <v>36</v>
      </c>
      <c r="O520">
        <v>20</v>
      </c>
      <c r="P520">
        <v>9</v>
      </c>
      <c r="Q520" t="str">
        <f t="shared" si="41"/>
        <v>KENNETH ARIAS</v>
      </c>
      <c r="R520" t="str">
        <f t="shared" si="42"/>
        <v>uk</v>
      </c>
      <c r="S520" t="str">
        <f>PROPER(global_freelancer_raw[[#This Row],[NAME UPPER]])</f>
        <v>Kenneth Arias</v>
      </c>
      <c r="T520" t="str">
        <f t="shared" si="43"/>
        <v>UK</v>
      </c>
      <c r="U520" t="str">
        <f t="shared" si="40"/>
        <v>eth Ar</v>
      </c>
      <c r="V520" t="str">
        <f t="shared" si="44"/>
        <v>19</v>
      </c>
    </row>
    <row r="521" spans="1:22" x14ac:dyDescent="0.3">
      <c r="A521" s="1" t="s">
        <v>1129</v>
      </c>
      <c r="B521" s="1" t="s">
        <v>1130</v>
      </c>
      <c r="C521" s="1" t="s">
        <v>39</v>
      </c>
      <c r="D521">
        <v>28</v>
      </c>
      <c r="E521" s="1" t="s">
        <v>55</v>
      </c>
      <c r="F521" s="1" t="s">
        <v>56</v>
      </c>
      <c r="G521" s="1" t="s">
        <v>87</v>
      </c>
      <c r="H521">
        <v>2</v>
      </c>
      <c r="I521" t="s">
        <v>58</v>
      </c>
      <c r="J521">
        <v>1.5</v>
      </c>
      <c r="K521">
        <v>1</v>
      </c>
      <c r="L521">
        <v>0.68</v>
      </c>
      <c r="M521" s="1" t="s">
        <v>51</v>
      </c>
      <c r="N521" s="1" t="s">
        <v>21</v>
      </c>
      <c r="O521">
        <v>4</v>
      </c>
      <c r="P521">
        <v>2</v>
      </c>
      <c r="Q521" t="str">
        <f t="shared" si="41"/>
        <v>VICTORIA OWEN</v>
      </c>
      <c r="R521" t="str">
        <f t="shared" si="42"/>
        <v>indonesia</v>
      </c>
      <c r="S521" t="str">
        <f>PROPER(global_freelancer_raw[[#This Row],[NAME UPPER]])</f>
        <v>Victoria Owen</v>
      </c>
      <c r="T521" t="str">
        <f t="shared" si="43"/>
        <v>In</v>
      </c>
      <c r="U521" t="str">
        <f t="shared" si="40"/>
        <v>oria O</v>
      </c>
      <c r="V521" t="str">
        <f t="shared" si="44"/>
        <v>20</v>
      </c>
    </row>
    <row r="522" spans="1:22" x14ac:dyDescent="0.3">
      <c r="A522" s="1" t="s">
        <v>1131</v>
      </c>
      <c r="B522" s="1" t="s">
        <v>1132</v>
      </c>
      <c r="C522" s="1" t="s">
        <v>86</v>
      </c>
      <c r="D522">
        <v>47</v>
      </c>
      <c r="E522" s="1" t="s">
        <v>184</v>
      </c>
      <c r="F522" s="1" t="s">
        <v>185</v>
      </c>
      <c r="G522" s="1" t="s">
        <v>87</v>
      </c>
      <c r="H522">
        <v>21</v>
      </c>
      <c r="I522" t="s">
        <v>238</v>
      </c>
      <c r="J522">
        <v>0</v>
      </c>
      <c r="K522" t="s">
        <v>35</v>
      </c>
      <c r="M522" s="1" t="s">
        <v>77</v>
      </c>
      <c r="N522" s="1" t="s">
        <v>65</v>
      </c>
      <c r="O522">
        <v>18</v>
      </c>
      <c r="P522">
        <v>3</v>
      </c>
      <c r="Q522" t="str">
        <f t="shared" si="41"/>
        <v>CHRISTINA KING</v>
      </c>
      <c r="R522" t="str">
        <f t="shared" si="42"/>
        <v>china</v>
      </c>
      <c r="S522" t="str">
        <f>PROPER(global_freelancer_raw[[#This Row],[NAME UPPER]])</f>
        <v>Christina King</v>
      </c>
      <c r="T522" t="str">
        <f t="shared" si="43"/>
        <v>Ch</v>
      </c>
      <c r="U522" t="str">
        <f t="shared" si="40"/>
        <v xml:space="preserve">stina </v>
      </c>
      <c r="V522" t="str">
        <f t="shared" si="44"/>
        <v>21</v>
      </c>
    </row>
    <row r="523" spans="1:22" x14ac:dyDescent="0.3">
      <c r="A523" s="1" t="s">
        <v>1133</v>
      </c>
      <c r="B523" s="1" t="s">
        <v>1134</v>
      </c>
      <c r="C523" s="1" t="s">
        <v>44</v>
      </c>
      <c r="D523">
        <v>30</v>
      </c>
      <c r="E523" s="1" t="s">
        <v>144</v>
      </c>
      <c r="F523" s="1" t="s">
        <v>145</v>
      </c>
      <c r="G523" s="1" t="s">
        <v>98</v>
      </c>
      <c r="H523">
        <v>0</v>
      </c>
      <c r="I523" t="s">
        <v>28</v>
      </c>
      <c r="J523">
        <v>4.0999999999999996</v>
      </c>
      <c r="K523">
        <v>0</v>
      </c>
      <c r="L523">
        <v>0.62</v>
      </c>
      <c r="M523" s="1" t="s">
        <v>51</v>
      </c>
      <c r="N523" s="1" t="s">
        <v>29</v>
      </c>
      <c r="O523">
        <v>3</v>
      </c>
      <c r="P523">
        <v>1</v>
      </c>
      <c r="Q523" t="str">
        <f t="shared" si="41"/>
        <v>SAMANTHA KING</v>
      </c>
      <c r="R523" t="str">
        <f t="shared" si="42"/>
        <v>france</v>
      </c>
      <c r="S523" t="str">
        <f>PROPER(global_freelancer_raw[[#This Row],[NAME UPPER]])</f>
        <v>Samantha King</v>
      </c>
      <c r="T523" t="str">
        <f t="shared" si="43"/>
        <v>Fr</v>
      </c>
      <c r="U523" t="str">
        <f t="shared" si="40"/>
        <v>ntha K</v>
      </c>
      <c r="V523" t="str">
        <f t="shared" si="44"/>
        <v>22</v>
      </c>
    </row>
    <row r="524" spans="1:22" x14ac:dyDescent="0.3">
      <c r="A524" s="1" t="s">
        <v>1135</v>
      </c>
      <c r="B524" s="1" t="s">
        <v>1136</v>
      </c>
      <c r="C524" s="1" t="s">
        <v>54</v>
      </c>
      <c r="D524">
        <v>36</v>
      </c>
      <c r="E524" s="1" t="s">
        <v>148</v>
      </c>
      <c r="F524" s="1" t="s">
        <v>149</v>
      </c>
      <c r="G524" s="1" t="s">
        <v>19</v>
      </c>
      <c r="H524">
        <v>4</v>
      </c>
      <c r="I524">
        <v>40</v>
      </c>
      <c r="J524">
        <v>2.6</v>
      </c>
      <c r="K524" t="s">
        <v>168</v>
      </c>
      <c r="L524">
        <v>0.9</v>
      </c>
      <c r="M524" s="1" t="s">
        <v>51</v>
      </c>
      <c r="N524" s="1" t="s">
        <v>65</v>
      </c>
      <c r="O524">
        <v>2</v>
      </c>
      <c r="P524">
        <v>4</v>
      </c>
      <c r="Q524" t="str">
        <f t="shared" si="41"/>
        <v>SCOTT COMPTON</v>
      </c>
      <c r="R524" t="str">
        <f t="shared" si="42"/>
        <v>egypt</v>
      </c>
      <c r="S524" t="str">
        <f>PROPER(global_freelancer_raw[[#This Row],[NAME UPPER]])</f>
        <v>Scott Compton</v>
      </c>
      <c r="T524" t="str">
        <f t="shared" si="43"/>
        <v>Eg</v>
      </c>
      <c r="U524" t="str">
        <f t="shared" si="40"/>
        <v>t Comp</v>
      </c>
      <c r="V524" t="str">
        <f t="shared" si="44"/>
        <v>23</v>
      </c>
    </row>
    <row r="525" spans="1:22" x14ac:dyDescent="0.3">
      <c r="A525" s="1" t="s">
        <v>1137</v>
      </c>
      <c r="B525" s="1" t="s">
        <v>1138</v>
      </c>
      <c r="C525" s="1" t="s">
        <v>24</v>
      </c>
      <c r="D525">
        <v>45</v>
      </c>
      <c r="E525" s="1" t="s">
        <v>64</v>
      </c>
      <c r="F525" s="1" t="s">
        <v>26</v>
      </c>
      <c r="G525" s="1" t="s">
        <v>82</v>
      </c>
      <c r="H525">
        <v>23</v>
      </c>
      <c r="I525">
        <v>100</v>
      </c>
      <c r="J525">
        <v>2.4</v>
      </c>
      <c r="K525" t="b">
        <v>0</v>
      </c>
      <c r="L525">
        <v>0.96</v>
      </c>
      <c r="M525" s="1" t="s">
        <v>77</v>
      </c>
      <c r="N525" s="1" t="s">
        <v>36</v>
      </c>
      <c r="O525">
        <v>14</v>
      </c>
      <c r="P525">
        <v>1</v>
      </c>
      <c r="Q525" t="str">
        <f t="shared" si="41"/>
        <v>MONICA WEST</v>
      </c>
      <c r="R525" t="str">
        <f t="shared" si="42"/>
        <v>us</v>
      </c>
      <c r="S525" t="str">
        <f>PROPER(global_freelancer_raw[[#This Row],[NAME UPPER]])</f>
        <v>Monica West</v>
      </c>
      <c r="T525" t="str">
        <f t="shared" si="43"/>
        <v>US</v>
      </c>
      <c r="U525" t="str">
        <f t="shared" si="40"/>
        <v>ca Wes</v>
      </c>
      <c r="V525" t="str">
        <f t="shared" si="44"/>
        <v>24</v>
      </c>
    </row>
    <row r="526" spans="1:22" x14ac:dyDescent="0.3">
      <c r="A526" s="1" t="s">
        <v>1139</v>
      </c>
      <c r="B526" s="1" t="s">
        <v>1140</v>
      </c>
      <c r="C526" s="1" t="s">
        <v>39</v>
      </c>
      <c r="D526">
        <v>51</v>
      </c>
      <c r="E526" s="1" t="s">
        <v>64</v>
      </c>
      <c r="F526" s="1" t="s">
        <v>26</v>
      </c>
      <c r="G526" s="1" t="s">
        <v>19</v>
      </c>
      <c r="H526">
        <v>25</v>
      </c>
      <c r="I526">
        <v>50</v>
      </c>
      <c r="J526">
        <v>1.4</v>
      </c>
      <c r="K526" t="s">
        <v>83</v>
      </c>
      <c r="L526">
        <v>0.6</v>
      </c>
      <c r="M526" s="1" t="s">
        <v>51</v>
      </c>
      <c r="N526" s="1" t="s">
        <v>36</v>
      </c>
      <c r="O526">
        <v>17</v>
      </c>
      <c r="P526">
        <v>7</v>
      </c>
      <c r="Q526" t="str">
        <f t="shared" si="41"/>
        <v>THERESA STEWART</v>
      </c>
      <c r="R526" t="str">
        <f t="shared" si="42"/>
        <v>us</v>
      </c>
      <c r="S526" t="str">
        <f>PROPER(global_freelancer_raw[[#This Row],[NAME UPPER]])</f>
        <v>Theresa Stewart</v>
      </c>
      <c r="T526" t="str">
        <f t="shared" si="43"/>
        <v>US</v>
      </c>
      <c r="U526" t="str">
        <f t="shared" si="40"/>
        <v>esa St</v>
      </c>
      <c r="V526" t="str">
        <f t="shared" si="44"/>
        <v>25</v>
      </c>
    </row>
    <row r="527" spans="1:22" x14ac:dyDescent="0.3">
      <c r="A527" s="1" t="s">
        <v>1141</v>
      </c>
      <c r="B527" s="1" t="s">
        <v>1142</v>
      </c>
      <c r="C527" s="1" t="s">
        <v>54</v>
      </c>
      <c r="D527">
        <v>46</v>
      </c>
      <c r="E527" s="1" t="s">
        <v>69</v>
      </c>
      <c r="F527" s="1" t="s">
        <v>70</v>
      </c>
      <c r="G527" s="1" t="s">
        <v>27</v>
      </c>
      <c r="H527">
        <v>10</v>
      </c>
      <c r="J527">
        <v>4.5999999999999996</v>
      </c>
      <c r="K527" t="s">
        <v>83</v>
      </c>
      <c r="L527">
        <v>0.62</v>
      </c>
      <c r="M527" s="1" t="s">
        <v>20</v>
      </c>
      <c r="N527" s="1" t="s">
        <v>65</v>
      </c>
      <c r="O527">
        <v>6</v>
      </c>
      <c r="P527">
        <v>1</v>
      </c>
      <c r="Q527" t="str">
        <f t="shared" si="41"/>
        <v>STEVEN KIM</v>
      </c>
      <c r="R527" t="str">
        <f t="shared" si="42"/>
        <v>turkey</v>
      </c>
      <c r="S527" t="str">
        <f>PROPER(global_freelancer_raw[[#This Row],[NAME UPPER]])</f>
        <v>Steven Kim</v>
      </c>
      <c r="T527" t="str">
        <f t="shared" si="43"/>
        <v>Tu</v>
      </c>
      <c r="U527" t="str">
        <f t="shared" si="40"/>
        <v>en Kim</v>
      </c>
      <c r="V527" t="str">
        <f t="shared" si="44"/>
        <v>26</v>
      </c>
    </row>
    <row r="528" spans="1:22" x14ac:dyDescent="0.3">
      <c r="A528" s="1" t="s">
        <v>1143</v>
      </c>
      <c r="B528" s="1" t="s">
        <v>1144</v>
      </c>
      <c r="C528" s="1" t="s">
        <v>24</v>
      </c>
      <c r="D528">
        <v>38</v>
      </c>
      <c r="E528" s="1" t="s">
        <v>17</v>
      </c>
      <c r="F528" s="1" t="s">
        <v>18</v>
      </c>
      <c r="G528" s="1" t="s">
        <v>57</v>
      </c>
      <c r="H528">
        <v>18</v>
      </c>
      <c r="I528" t="s">
        <v>61</v>
      </c>
      <c r="J528">
        <v>4.9000000000000004</v>
      </c>
      <c r="K528" t="b">
        <v>0</v>
      </c>
      <c r="L528">
        <v>0.74</v>
      </c>
      <c r="M528" s="1" t="s">
        <v>51</v>
      </c>
      <c r="N528" s="1" t="s">
        <v>29</v>
      </c>
      <c r="O528">
        <v>11</v>
      </c>
      <c r="P528">
        <v>11</v>
      </c>
      <c r="Q528" t="str">
        <f t="shared" si="41"/>
        <v>KRISTI KNIGHT</v>
      </c>
      <c r="R528" t="str">
        <f t="shared" si="42"/>
        <v>italy</v>
      </c>
      <c r="S528" t="str">
        <f>PROPER(global_freelancer_raw[[#This Row],[NAME UPPER]])</f>
        <v>Kristi Knight</v>
      </c>
      <c r="T528" t="str">
        <f t="shared" si="43"/>
        <v>It</v>
      </c>
      <c r="U528" t="str">
        <f t="shared" si="40"/>
        <v>ti Kni</v>
      </c>
      <c r="V528" t="str">
        <f t="shared" si="44"/>
        <v>27</v>
      </c>
    </row>
    <row r="529" spans="1:22" x14ac:dyDescent="0.3">
      <c r="A529" s="1" t="s">
        <v>1145</v>
      </c>
      <c r="B529" s="1" t="s">
        <v>1146</v>
      </c>
      <c r="C529" s="1" t="s">
        <v>106</v>
      </c>
      <c r="D529">
        <v>26</v>
      </c>
      <c r="E529" s="1" t="s">
        <v>199</v>
      </c>
      <c r="F529" s="1" t="s">
        <v>81</v>
      </c>
      <c r="G529" s="1" t="s">
        <v>19</v>
      </c>
      <c r="H529">
        <v>1</v>
      </c>
      <c r="I529" t="s">
        <v>130</v>
      </c>
      <c r="J529">
        <v>0</v>
      </c>
      <c r="K529">
        <v>1</v>
      </c>
      <c r="M529" s="1" t="s">
        <v>20</v>
      </c>
      <c r="N529" s="1" t="s">
        <v>29</v>
      </c>
      <c r="O529">
        <v>1</v>
      </c>
      <c r="P529">
        <v>1</v>
      </c>
      <c r="Q529" t="str">
        <f t="shared" si="41"/>
        <v>JASON BRYANT</v>
      </c>
      <c r="R529" t="str">
        <f t="shared" si="42"/>
        <v>spain</v>
      </c>
      <c r="S529" t="str">
        <f>PROPER(global_freelancer_raw[[#This Row],[NAME UPPER]])</f>
        <v>Jason Bryant</v>
      </c>
      <c r="T529" t="str">
        <f t="shared" si="43"/>
        <v>Sp</v>
      </c>
      <c r="U529" t="str">
        <f t="shared" si="40"/>
        <v>n Brya</v>
      </c>
      <c r="V529" t="str">
        <f t="shared" si="44"/>
        <v>28</v>
      </c>
    </row>
    <row r="530" spans="1:22" x14ac:dyDescent="0.3">
      <c r="A530" s="1" t="s">
        <v>1147</v>
      </c>
      <c r="B530" s="1" t="s">
        <v>1148</v>
      </c>
      <c r="C530" s="1" t="s">
        <v>86</v>
      </c>
      <c r="D530">
        <v>40</v>
      </c>
      <c r="E530" s="1" t="s">
        <v>75</v>
      </c>
      <c r="F530" s="1" t="s">
        <v>26</v>
      </c>
      <c r="G530" s="1" t="s">
        <v>98</v>
      </c>
      <c r="H530">
        <v>12</v>
      </c>
      <c r="I530">
        <v>30</v>
      </c>
      <c r="J530">
        <v>3.5</v>
      </c>
      <c r="L530">
        <v>0.98</v>
      </c>
      <c r="M530" s="1" t="s">
        <v>20</v>
      </c>
      <c r="N530" s="1" t="s">
        <v>29</v>
      </c>
      <c r="O530">
        <v>12</v>
      </c>
      <c r="P530">
        <v>9</v>
      </c>
      <c r="Q530" t="str">
        <f t="shared" si="41"/>
        <v>MAUREEN KEITH</v>
      </c>
      <c r="R530" t="str">
        <f t="shared" si="42"/>
        <v>uk</v>
      </c>
      <c r="S530" t="str">
        <f>PROPER(global_freelancer_raw[[#This Row],[NAME UPPER]])</f>
        <v>Maureen Keith</v>
      </c>
      <c r="T530" t="str">
        <f t="shared" si="43"/>
        <v>UK</v>
      </c>
      <c r="U530" t="str">
        <f t="shared" si="40"/>
        <v>een Ke</v>
      </c>
      <c r="V530" t="str">
        <f t="shared" si="44"/>
        <v>29</v>
      </c>
    </row>
    <row r="531" spans="1:22" x14ac:dyDescent="0.3">
      <c r="A531" s="1" t="s">
        <v>1149</v>
      </c>
      <c r="B531" s="1" t="s">
        <v>1150</v>
      </c>
      <c r="C531" s="1" t="s">
        <v>106</v>
      </c>
      <c r="D531">
        <v>37</v>
      </c>
      <c r="E531" s="1" t="s">
        <v>33</v>
      </c>
      <c r="F531" s="1" t="s">
        <v>33</v>
      </c>
      <c r="G531" s="1" t="s">
        <v>123</v>
      </c>
      <c r="J531">
        <v>1.7</v>
      </c>
      <c r="K531" t="s">
        <v>76</v>
      </c>
      <c r="L531">
        <v>0.63</v>
      </c>
      <c r="M531" s="1" t="s">
        <v>20</v>
      </c>
      <c r="N531" s="1" t="s">
        <v>36</v>
      </c>
      <c r="O531">
        <v>2</v>
      </c>
      <c r="P531">
        <v>1</v>
      </c>
      <c r="Q531" t="str">
        <f t="shared" si="41"/>
        <v>SHAWN HOGAN</v>
      </c>
      <c r="R531" t="str">
        <f t="shared" si="42"/>
        <v>germany</v>
      </c>
      <c r="S531" t="str">
        <f>PROPER(global_freelancer_raw[[#This Row],[NAME UPPER]])</f>
        <v>Shawn Hogan</v>
      </c>
      <c r="T531" t="str">
        <f t="shared" si="43"/>
        <v>Ge</v>
      </c>
      <c r="U531" t="str">
        <f t="shared" si="40"/>
        <v>n Hoga</v>
      </c>
      <c r="V531" t="str">
        <f t="shared" si="44"/>
        <v>30</v>
      </c>
    </row>
    <row r="532" spans="1:22" x14ac:dyDescent="0.3">
      <c r="A532" s="1" t="s">
        <v>1151</v>
      </c>
      <c r="B532" s="1" t="s">
        <v>1152</v>
      </c>
      <c r="C532" s="1" t="s">
        <v>101</v>
      </c>
      <c r="D532">
        <v>28</v>
      </c>
      <c r="E532" s="1" t="s">
        <v>137</v>
      </c>
      <c r="F532" s="1" t="s">
        <v>26</v>
      </c>
      <c r="G532" s="1" t="s">
        <v>19</v>
      </c>
      <c r="H532">
        <v>5</v>
      </c>
      <c r="I532" t="s">
        <v>71</v>
      </c>
      <c r="J532">
        <v>0</v>
      </c>
      <c r="K532" t="s">
        <v>76</v>
      </c>
      <c r="L532">
        <v>96</v>
      </c>
      <c r="M532" s="1" t="s">
        <v>72</v>
      </c>
      <c r="N532" s="1" t="s">
        <v>65</v>
      </c>
      <c r="O532">
        <v>2</v>
      </c>
      <c r="P532">
        <v>2</v>
      </c>
      <c r="Q532" t="str">
        <f t="shared" si="41"/>
        <v>WILLIAM DAVIS</v>
      </c>
      <c r="R532" t="str">
        <f t="shared" si="42"/>
        <v>canada</v>
      </c>
      <c r="S532" t="str">
        <f>PROPER(global_freelancer_raw[[#This Row],[NAME UPPER]])</f>
        <v>William Davis</v>
      </c>
      <c r="T532" t="str">
        <f t="shared" si="43"/>
        <v>Ca</v>
      </c>
      <c r="U532" t="str">
        <f t="shared" si="40"/>
        <v>iam Da</v>
      </c>
      <c r="V532" t="str">
        <f t="shared" si="44"/>
        <v>31</v>
      </c>
    </row>
    <row r="533" spans="1:22" x14ac:dyDescent="0.3">
      <c r="A533" s="1" t="s">
        <v>1153</v>
      </c>
      <c r="B533" s="1" t="s">
        <v>1154</v>
      </c>
      <c r="C533" s="1" t="s">
        <v>44</v>
      </c>
      <c r="D533">
        <v>48</v>
      </c>
      <c r="E533" s="1" t="s">
        <v>102</v>
      </c>
      <c r="F533" s="1" t="s">
        <v>103</v>
      </c>
      <c r="G533" s="1" t="s">
        <v>27</v>
      </c>
      <c r="H533">
        <v>28</v>
      </c>
      <c r="I533" t="s">
        <v>323</v>
      </c>
      <c r="J533">
        <v>0</v>
      </c>
      <c r="K533">
        <v>0</v>
      </c>
      <c r="L533">
        <v>0.88</v>
      </c>
      <c r="M533" s="1" t="s">
        <v>51</v>
      </c>
      <c r="N533" s="1" t="s">
        <v>21</v>
      </c>
      <c r="O533">
        <v>18</v>
      </c>
      <c r="P533">
        <v>8</v>
      </c>
      <c r="Q533" t="str">
        <f t="shared" si="41"/>
        <v>STACY BAILEY</v>
      </c>
      <c r="R533" t="str">
        <f t="shared" si="42"/>
        <v>india</v>
      </c>
      <c r="S533" t="str">
        <f>PROPER(global_freelancer_raw[[#This Row],[NAME UPPER]])</f>
        <v>Stacy Bailey</v>
      </c>
      <c r="T533" t="str">
        <f t="shared" si="43"/>
        <v>In</v>
      </c>
      <c r="U533" t="str">
        <f t="shared" si="40"/>
        <v>y Bail</v>
      </c>
      <c r="V533" t="str">
        <f t="shared" si="44"/>
        <v>32</v>
      </c>
    </row>
    <row r="534" spans="1:22" x14ac:dyDescent="0.3">
      <c r="A534" s="1" t="s">
        <v>1155</v>
      </c>
      <c r="B534" s="1" t="s">
        <v>1156</v>
      </c>
      <c r="C534" s="1" t="s">
        <v>68</v>
      </c>
      <c r="D534">
        <v>22</v>
      </c>
      <c r="E534" s="1" t="s">
        <v>102</v>
      </c>
      <c r="F534" s="1" t="s">
        <v>103</v>
      </c>
      <c r="G534" s="1" t="s">
        <v>49</v>
      </c>
      <c r="H534">
        <v>0</v>
      </c>
      <c r="J534">
        <v>4.5999999999999996</v>
      </c>
      <c r="K534" t="b">
        <v>0</v>
      </c>
      <c r="M534" s="1" t="s">
        <v>77</v>
      </c>
      <c r="N534" s="1" t="s">
        <v>36</v>
      </c>
      <c r="O534">
        <v>4</v>
      </c>
      <c r="P534">
        <v>1</v>
      </c>
      <c r="Q534" t="str">
        <f t="shared" si="41"/>
        <v>THOMAS DIXON</v>
      </c>
      <c r="R534" t="str">
        <f t="shared" si="42"/>
        <v>india</v>
      </c>
      <c r="S534" t="str">
        <f>PROPER(global_freelancer_raw[[#This Row],[NAME UPPER]])</f>
        <v>Thomas Dixon</v>
      </c>
      <c r="T534" t="str">
        <f t="shared" si="43"/>
        <v>In</v>
      </c>
      <c r="U534" t="str">
        <f t="shared" si="40"/>
        <v>as Dix</v>
      </c>
      <c r="V534" t="str">
        <f t="shared" si="44"/>
        <v>33</v>
      </c>
    </row>
    <row r="535" spans="1:22" x14ac:dyDescent="0.3">
      <c r="A535" s="1" t="s">
        <v>1157</v>
      </c>
      <c r="B535" s="1" t="s">
        <v>1158</v>
      </c>
      <c r="C535" s="1" t="s">
        <v>44</v>
      </c>
      <c r="D535">
        <v>41</v>
      </c>
      <c r="E535" s="1" t="s">
        <v>33</v>
      </c>
      <c r="F535" s="1" t="s">
        <v>33</v>
      </c>
      <c r="G535" s="1" t="s">
        <v>40</v>
      </c>
      <c r="H535">
        <v>14</v>
      </c>
      <c r="I535">
        <v>40</v>
      </c>
      <c r="J535">
        <v>1.1000000000000001</v>
      </c>
      <c r="K535" t="b">
        <v>1</v>
      </c>
      <c r="L535">
        <v>0.73</v>
      </c>
      <c r="M535" s="1" t="s">
        <v>77</v>
      </c>
      <c r="N535" s="1" t="s">
        <v>29</v>
      </c>
      <c r="O535">
        <v>7</v>
      </c>
      <c r="P535">
        <v>5</v>
      </c>
      <c r="Q535" t="str">
        <f t="shared" si="41"/>
        <v>MARIA HALL</v>
      </c>
      <c r="R535" t="str">
        <f t="shared" si="42"/>
        <v>germany</v>
      </c>
      <c r="S535" t="str">
        <f>PROPER(global_freelancer_raw[[#This Row],[NAME UPPER]])</f>
        <v>Maria Hall</v>
      </c>
      <c r="T535" t="str">
        <f t="shared" si="43"/>
        <v>Ge</v>
      </c>
      <c r="U535" t="str">
        <f t="shared" si="40"/>
        <v>a Hall</v>
      </c>
      <c r="V535" t="str">
        <f t="shared" si="44"/>
        <v>34</v>
      </c>
    </row>
    <row r="536" spans="1:22" x14ac:dyDescent="0.3">
      <c r="A536" s="1" t="s">
        <v>1159</v>
      </c>
      <c r="B536" s="1" t="s">
        <v>1160</v>
      </c>
      <c r="C536" s="1" t="s">
        <v>68</v>
      </c>
      <c r="D536">
        <v>38</v>
      </c>
      <c r="E536" s="1" t="s">
        <v>64</v>
      </c>
      <c r="F536" s="1" t="s">
        <v>26</v>
      </c>
      <c r="G536" s="1" t="s">
        <v>34</v>
      </c>
      <c r="H536">
        <v>15</v>
      </c>
      <c r="J536">
        <v>4.2</v>
      </c>
      <c r="K536">
        <v>0</v>
      </c>
      <c r="L536">
        <v>0.88</v>
      </c>
      <c r="M536" s="1" t="s">
        <v>51</v>
      </c>
      <c r="N536" s="1" t="s">
        <v>65</v>
      </c>
      <c r="O536">
        <v>15</v>
      </c>
      <c r="P536">
        <v>4</v>
      </c>
      <c r="Q536" t="str">
        <f t="shared" si="41"/>
        <v>TONY LEE</v>
      </c>
      <c r="R536" t="str">
        <f t="shared" si="42"/>
        <v>us</v>
      </c>
      <c r="S536" t="str">
        <f>PROPER(global_freelancer_raw[[#This Row],[NAME UPPER]])</f>
        <v>Tony Lee</v>
      </c>
      <c r="T536" t="str">
        <f t="shared" si="43"/>
        <v>US</v>
      </c>
      <c r="U536" t="str">
        <f t="shared" si="40"/>
        <v xml:space="preserve"> Lee</v>
      </c>
      <c r="V536" t="str">
        <f t="shared" si="44"/>
        <v>35</v>
      </c>
    </row>
    <row r="537" spans="1:22" x14ac:dyDescent="0.3">
      <c r="A537" s="1" t="s">
        <v>1161</v>
      </c>
      <c r="B537" s="1" t="s">
        <v>1162</v>
      </c>
      <c r="C537" s="1" t="s">
        <v>24</v>
      </c>
      <c r="D537">
        <v>31</v>
      </c>
      <c r="E537" s="1" t="s">
        <v>162</v>
      </c>
      <c r="F537" s="1" t="s">
        <v>163</v>
      </c>
      <c r="G537" s="1" t="s">
        <v>82</v>
      </c>
      <c r="H537">
        <v>9</v>
      </c>
      <c r="J537">
        <v>0</v>
      </c>
      <c r="K537" t="b">
        <v>0</v>
      </c>
      <c r="L537">
        <v>0.91</v>
      </c>
      <c r="M537" s="1" t="s">
        <v>72</v>
      </c>
      <c r="N537" s="1" t="s">
        <v>29</v>
      </c>
      <c r="O537">
        <v>10</v>
      </c>
      <c r="P537">
        <v>5</v>
      </c>
      <c r="Q537" t="str">
        <f t="shared" si="41"/>
        <v>CATHERINE MCCOY MD</v>
      </c>
      <c r="R537" t="str">
        <f t="shared" si="42"/>
        <v>south africa</v>
      </c>
      <c r="S537" t="str">
        <f>PROPER(global_freelancer_raw[[#This Row],[NAME UPPER]])</f>
        <v>Catherine Mccoy Md</v>
      </c>
      <c r="T537" t="str">
        <f t="shared" si="43"/>
        <v>So</v>
      </c>
      <c r="U537" t="str">
        <f t="shared" si="40"/>
        <v xml:space="preserve">erine </v>
      </c>
      <c r="V537" t="str">
        <f t="shared" si="44"/>
        <v>36</v>
      </c>
    </row>
    <row r="538" spans="1:22" x14ac:dyDescent="0.3">
      <c r="A538" s="1" t="s">
        <v>1163</v>
      </c>
      <c r="B538" s="1" t="s">
        <v>1164</v>
      </c>
      <c r="C538" s="1" t="s">
        <v>39</v>
      </c>
      <c r="D538">
        <v>30</v>
      </c>
      <c r="E538" s="1" t="s">
        <v>184</v>
      </c>
      <c r="F538" s="1" t="s">
        <v>185</v>
      </c>
      <c r="G538" s="1" t="s">
        <v>27</v>
      </c>
      <c r="H538">
        <v>9</v>
      </c>
      <c r="I538" t="s">
        <v>50</v>
      </c>
      <c r="J538">
        <v>3.9</v>
      </c>
      <c r="K538" t="s">
        <v>168</v>
      </c>
      <c r="L538">
        <v>0.65</v>
      </c>
      <c r="M538" s="1" t="s">
        <v>72</v>
      </c>
      <c r="N538" s="1" t="s">
        <v>21</v>
      </c>
      <c r="O538">
        <v>15</v>
      </c>
      <c r="P538">
        <v>13</v>
      </c>
      <c r="Q538" t="str">
        <f t="shared" si="41"/>
        <v>MARIA BENITEZ</v>
      </c>
      <c r="R538" t="str">
        <f t="shared" si="42"/>
        <v>china</v>
      </c>
      <c r="S538" t="str">
        <f>PROPER(global_freelancer_raw[[#This Row],[NAME UPPER]])</f>
        <v>Maria Benitez</v>
      </c>
      <c r="T538" t="str">
        <f t="shared" si="43"/>
        <v>Ch</v>
      </c>
      <c r="U538" t="str">
        <f t="shared" si="40"/>
        <v>a Beni</v>
      </c>
      <c r="V538" t="str">
        <f t="shared" si="44"/>
        <v>37</v>
      </c>
    </row>
    <row r="539" spans="1:22" x14ac:dyDescent="0.3">
      <c r="A539" s="1" t="s">
        <v>1165</v>
      </c>
      <c r="B539" s="1" t="s">
        <v>1166</v>
      </c>
      <c r="C539" s="1" t="s">
        <v>68</v>
      </c>
      <c r="D539">
        <v>51</v>
      </c>
      <c r="E539" s="1" t="s">
        <v>188</v>
      </c>
      <c r="F539" s="1" t="s">
        <v>81</v>
      </c>
      <c r="G539" s="1" t="s">
        <v>82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s="1" t="s">
        <v>20</v>
      </c>
      <c r="N539" s="1" t="s">
        <v>29</v>
      </c>
      <c r="O539">
        <v>15</v>
      </c>
      <c r="P539">
        <v>15</v>
      </c>
      <c r="Q539" t="str">
        <f t="shared" si="41"/>
        <v>JOSHUA CHAMBERS</v>
      </c>
      <c r="R539" t="str">
        <f t="shared" si="42"/>
        <v>mexico</v>
      </c>
      <c r="S539" t="str">
        <f>PROPER(global_freelancer_raw[[#This Row],[NAME UPPER]])</f>
        <v>Joshua Chambers</v>
      </c>
      <c r="T539" t="str">
        <f t="shared" si="43"/>
        <v>Me</v>
      </c>
      <c r="U539" t="str">
        <f t="shared" si="40"/>
        <v>ua Cha</v>
      </c>
      <c r="V539" t="str">
        <f t="shared" si="44"/>
        <v>38</v>
      </c>
    </row>
    <row r="540" spans="1:22" x14ac:dyDescent="0.3">
      <c r="A540" s="1" t="s">
        <v>1167</v>
      </c>
      <c r="B540" s="1" t="s">
        <v>1168</v>
      </c>
      <c r="C540" s="1" t="s">
        <v>16</v>
      </c>
      <c r="D540">
        <v>21</v>
      </c>
      <c r="E540" s="1" t="s">
        <v>33</v>
      </c>
      <c r="F540" s="1" t="s">
        <v>33</v>
      </c>
      <c r="G540" s="1" t="s">
        <v>98</v>
      </c>
      <c r="H540">
        <v>0</v>
      </c>
      <c r="I540" t="s">
        <v>130</v>
      </c>
      <c r="J540">
        <v>2.6</v>
      </c>
      <c r="K540" t="s">
        <v>35</v>
      </c>
      <c r="L540">
        <v>0.72</v>
      </c>
      <c r="M540" s="1" t="s">
        <v>51</v>
      </c>
      <c r="N540" s="1" t="s">
        <v>29</v>
      </c>
      <c r="O540">
        <v>2</v>
      </c>
      <c r="P540">
        <v>5</v>
      </c>
      <c r="Q540" t="str">
        <f t="shared" si="41"/>
        <v>JANICE DANIELS</v>
      </c>
      <c r="R540" t="str">
        <f t="shared" si="42"/>
        <v>germany</v>
      </c>
      <c r="S540" t="str">
        <f>PROPER(global_freelancer_raw[[#This Row],[NAME UPPER]])</f>
        <v>Janice Daniels</v>
      </c>
      <c r="T540" t="str">
        <f t="shared" si="43"/>
        <v>Ge</v>
      </c>
      <c r="U540" t="str">
        <f t="shared" si="40"/>
        <v>ce Dan</v>
      </c>
      <c r="V540" t="str">
        <f t="shared" si="44"/>
        <v>39</v>
      </c>
    </row>
    <row r="541" spans="1:22" x14ac:dyDescent="0.3">
      <c r="A541" s="1" t="s">
        <v>1169</v>
      </c>
      <c r="B541" s="1" t="s">
        <v>1170</v>
      </c>
      <c r="C541" s="1" t="s">
        <v>24</v>
      </c>
      <c r="D541">
        <v>20</v>
      </c>
      <c r="E541" s="1" t="s">
        <v>17</v>
      </c>
      <c r="F541" s="1" t="s">
        <v>18</v>
      </c>
      <c r="G541" s="1" t="s">
        <v>98</v>
      </c>
      <c r="H541">
        <v>1</v>
      </c>
      <c r="I541" t="s">
        <v>61</v>
      </c>
      <c r="J541">
        <v>2.2999999999999998</v>
      </c>
      <c r="K541">
        <v>1</v>
      </c>
      <c r="L541">
        <v>0.72</v>
      </c>
      <c r="M541" s="1" t="s">
        <v>51</v>
      </c>
      <c r="N541" s="1" t="s">
        <v>21</v>
      </c>
      <c r="O541">
        <v>1</v>
      </c>
      <c r="P541">
        <v>2</v>
      </c>
      <c r="Q541" t="str">
        <f t="shared" si="41"/>
        <v>CARLA WOOD</v>
      </c>
      <c r="R541" t="str">
        <f t="shared" si="42"/>
        <v>italy</v>
      </c>
      <c r="S541" t="str">
        <f>PROPER(global_freelancer_raw[[#This Row],[NAME UPPER]])</f>
        <v>Carla Wood</v>
      </c>
      <c r="T541" t="str">
        <f t="shared" si="43"/>
        <v>It</v>
      </c>
      <c r="U541" t="str">
        <f t="shared" si="40"/>
        <v>a Wood</v>
      </c>
      <c r="V541" t="str">
        <f t="shared" si="44"/>
        <v>40</v>
      </c>
    </row>
    <row r="542" spans="1:22" x14ac:dyDescent="0.3">
      <c r="A542" s="1" t="s">
        <v>1171</v>
      </c>
      <c r="B542" s="1" t="s">
        <v>1172</v>
      </c>
      <c r="C542" s="1" t="s">
        <v>106</v>
      </c>
      <c r="D542">
        <v>30</v>
      </c>
      <c r="E542" s="1" t="s">
        <v>94</v>
      </c>
      <c r="F542" s="1" t="s">
        <v>95</v>
      </c>
      <c r="G542" s="1" t="s">
        <v>19</v>
      </c>
      <c r="H542">
        <v>5</v>
      </c>
      <c r="I542" t="s">
        <v>50</v>
      </c>
      <c r="J542">
        <v>4.8</v>
      </c>
      <c r="K542" t="s">
        <v>35</v>
      </c>
      <c r="M542" s="1" t="s">
        <v>77</v>
      </c>
      <c r="N542" s="1" t="s">
        <v>65</v>
      </c>
      <c r="O542">
        <v>1</v>
      </c>
      <c r="P542">
        <v>2</v>
      </c>
      <c r="Q542" t="str">
        <f t="shared" si="41"/>
        <v>KENNETH VASQUEZ</v>
      </c>
      <c r="R542" t="str">
        <f t="shared" si="42"/>
        <v>japan</v>
      </c>
      <c r="S542" t="str">
        <f>PROPER(global_freelancer_raw[[#This Row],[NAME UPPER]])</f>
        <v>Kenneth Vasquez</v>
      </c>
      <c r="T542" t="str">
        <f t="shared" si="43"/>
        <v>Ja</v>
      </c>
      <c r="U542" t="str">
        <f t="shared" si="40"/>
        <v>eth Va</v>
      </c>
      <c r="V542" t="str">
        <f t="shared" si="44"/>
        <v>41</v>
      </c>
    </row>
    <row r="543" spans="1:22" x14ac:dyDescent="0.3">
      <c r="A543" s="1" t="s">
        <v>1173</v>
      </c>
      <c r="B543" s="1" t="s">
        <v>1174</v>
      </c>
      <c r="C543" s="1" t="s">
        <v>68</v>
      </c>
      <c r="D543">
        <v>41</v>
      </c>
      <c r="E543" s="1" t="s">
        <v>184</v>
      </c>
      <c r="F543" s="1" t="s">
        <v>185</v>
      </c>
      <c r="G543" s="1" t="s">
        <v>57</v>
      </c>
      <c r="H543">
        <v>0</v>
      </c>
      <c r="I543" t="s">
        <v>61</v>
      </c>
      <c r="J543">
        <v>4.5</v>
      </c>
      <c r="K543" t="s">
        <v>35</v>
      </c>
      <c r="L543">
        <v>0.68</v>
      </c>
      <c r="M543" s="1" t="s">
        <v>51</v>
      </c>
      <c r="N543" s="1" t="s">
        <v>36</v>
      </c>
      <c r="O543">
        <v>3</v>
      </c>
      <c r="P543">
        <v>2</v>
      </c>
      <c r="Q543" t="str">
        <f t="shared" si="41"/>
        <v>KEVIN SMITH</v>
      </c>
      <c r="R543" t="str">
        <f t="shared" si="42"/>
        <v>china</v>
      </c>
      <c r="S543" t="str">
        <f>PROPER(global_freelancer_raw[[#This Row],[NAME UPPER]])</f>
        <v>Kevin Smith</v>
      </c>
      <c r="T543" t="str">
        <f t="shared" si="43"/>
        <v>Ch</v>
      </c>
      <c r="U543" t="str">
        <f t="shared" si="40"/>
        <v>n Smit</v>
      </c>
      <c r="V543" t="str">
        <f t="shared" si="44"/>
        <v>42</v>
      </c>
    </row>
    <row r="544" spans="1:22" x14ac:dyDescent="0.3">
      <c r="A544" s="1" t="s">
        <v>1175</v>
      </c>
      <c r="B544" s="1" t="s">
        <v>1176</v>
      </c>
      <c r="C544" s="1" t="s">
        <v>106</v>
      </c>
      <c r="D544">
        <v>22</v>
      </c>
      <c r="E544" s="1" t="s">
        <v>199</v>
      </c>
      <c r="F544" s="1" t="s">
        <v>81</v>
      </c>
      <c r="G544" s="1" t="s">
        <v>19</v>
      </c>
      <c r="H544">
        <v>0</v>
      </c>
      <c r="I544" t="s">
        <v>50</v>
      </c>
      <c r="J544">
        <v>0</v>
      </c>
      <c r="K544">
        <v>0</v>
      </c>
      <c r="L544">
        <v>0.87</v>
      </c>
      <c r="M544" s="1" t="s">
        <v>72</v>
      </c>
      <c r="N544" s="1" t="s">
        <v>65</v>
      </c>
      <c r="O544">
        <v>5</v>
      </c>
      <c r="P544">
        <v>3</v>
      </c>
      <c r="Q544" t="str">
        <f t="shared" si="41"/>
        <v>THOMAS KIM</v>
      </c>
      <c r="R544" t="str">
        <f t="shared" si="42"/>
        <v>spain</v>
      </c>
      <c r="S544" t="str">
        <f>PROPER(global_freelancer_raw[[#This Row],[NAME UPPER]])</f>
        <v>Thomas Kim</v>
      </c>
      <c r="T544" t="str">
        <f t="shared" si="43"/>
        <v>Sp</v>
      </c>
      <c r="U544" t="str">
        <f t="shared" si="40"/>
        <v>as Kim</v>
      </c>
      <c r="V544" t="str">
        <f t="shared" si="44"/>
        <v>43</v>
      </c>
    </row>
    <row r="545" spans="1:22" x14ac:dyDescent="0.3">
      <c r="A545" s="1" t="s">
        <v>1177</v>
      </c>
      <c r="B545" s="1" t="s">
        <v>1178</v>
      </c>
      <c r="C545" s="1" t="s">
        <v>68</v>
      </c>
      <c r="D545">
        <v>45</v>
      </c>
      <c r="E545" s="1" t="s">
        <v>188</v>
      </c>
      <c r="F545" s="1" t="s">
        <v>81</v>
      </c>
      <c r="G545" s="1" t="s">
        <v>87</v>
      </c>
      <c r="H545">
        <v>19</v>
      </c>
      <c r="I545">
        <v>75</v>
      </c>
      <c r="J545">
        <v>0</v>
      </c>
      <c r="K545" t="s">
        <v>168</v>
      </c>
      <c r="L545">
        <v>0.72</v>
      </c>
      <c r="M545" s="1" t="s">
        <v>51</v>
      </c>
      <c r="N545" s="1" t="s">
        <v>21</v>
      </c>
      <c r="O545">
        <v>14</v>
      </c>
      <c r="P545">
        <v>20</v>
      </c>
      <c r="Q545" t="str">
        <f t="shared" si="41"/>
        <v>SEAN PARK</v>
      </c>
      <c r="R545" t="str">
        <f t="shared" si="42"/>
        <v>mexico</v>
      </c>
      <c r="S545" t="str">
        <f>PROPER(global_freelancer_raw[[#This Row],[NAME UPPER]])</f>
        <v>Sean Park</v>
      </c>
      <c r="T545" t="str">
        <f t="shared" si="43"/>
        <v>Me</v>
      </c>
      <c r="U545" t="str">
        <f t="shared" si="40"/>
        <v xml:space="preserve"> Park</v>
      </c>
      <c r="V545" t="str">
        <f t="shared" si="44"/>
        <v>44</v>
      </c>
    </row>
    <row r="546" spans="1:22" x14ac:dyDescent="0.3">
      <c r="A546" s="1" t="s">
        <v>1179</v>
      </c>
      <c r="B546" s="1" t="s">
        <v>1180</v>
      </c>
      <c r="C546" s="1" t="s">
        <v>86</v>
      </c>
      <c r="D546">
        <v>22</v>
      </c>
      <c r="E546" s="1" t="s">
        <v>25</v>
      </c>
      <c r="F546" s="1" t="s">
        <v>26</v>
      </c>
      <c r="G546" s="1" t="s">
        <v>57</v>
      </c>
      <c r="H546">
        <v>2</v>
      </c>
      <c r="I546">
        <v>40</v>
      </c>
      <c r="J546">
        <v>1.1000000000000001</v>
      </c>
      <c r="K546" t="s">
        <v>168</v>
      </c>
      <c r="L546">
        <v>0.76</v>
      </c>
      <c r="M546" s="1" t="s">
        <v>77</v>
      </c>
      <c r="N546" s="1" t="s">
        <v>29</v>
      </c>
      <c r="O546">
        <v>4</v>
      </c>
      <c r="P546">
        <v>1</v>
      </c>
      <c r="Q546" t="str">
        <f t="shared" si="41"/>
        <v>JUDITH POOLE</v>
      </c>
      <c r="R546" t="str">
        <f t="shared" si="42"/>
        <v>australia</v>
      </c>
      <c r="S546" t="str">
        <f>PROPER(global_freelancer_raw[[#This Row],[NAME UPPER]])</f>
        <v>Judith Poole</v>
      </c>
      <c r="T546" t="str">
        <f t="shared" si="43"/>
        <v>Au</v>
      </c>
      <c r="U546" t="str">
        <f t="shared" si="40"/>
        <v>th Poo</v>
      </c>
      <c r="V546" t="str">
        <f t="shared" si="44"/>
        <v>45</v>
      </c>
    </row>
    <row r="547" spans="1:22" x14ac:dyDescent="0.3">
      <c r="A547" s="1" t="s">
        <v>1181</v>
      </c>
      <c r="B547" s="1" t="s">
        <v>1182</v>
      </c>
      <c r="C547" s="1" t="s">
        <v>16</v>
      </c>
      <c r="D547">
        <v>20</v>
      </c>
      <c r="E547" s="1" t="s">
        <v>69</v>
      </c>
      <c r="F547" s="1" t="s">
        <v>70</v>
      </c>
      <c r="G547" s="1" t="s">
        <v>27</v>
      </c>
      <c r="H547">
        <v>0</v>
      </c>
      <c r="I547">
        <v>100</v>
      </c>
      <c r="J547">
        <v>0</v>
      </c>
      <c r="K547">
        <v>0</v>
      </c>
      <c r="L547">
        <v>63</v>
      </c>
      <c r="M547" s="1" t="s">
        <v>20</v>
      </c>
      <c r="N547" s="1" t="s">
        <v>65</v>
      </c>
      <c r="O547">
        <v>1</v>
      </c>
      <c r="P547">
        <v>3</v>
      </c>
      <c r="Q547" t="str">
        <f t="shared" si="41"/>
        <v>MELANIE BAIRD</v>
      </c>
      <c r="R547" t="str">
        <f t="shared" si="42"/>
        <v>turkey</v>
      </c>
      <c r="S547" t="str">
        <f>PROPER(global_freelancer_raw[[#This Row],[NAME UPPER]])</f>
        <v>Melanie Baird</v>
      </c>
      <c r="T547" t="str">
        <f t="shared" si="43"/>
        <v>Tu</v>
      </c>
      <c r="U547" t="str">
        <f t="shared" si="40"/>
        <v>nie Ba</v>
      </c>
      <c r="V547" t="str">
        <f t="shared" si="44"/>
        <v>46</v>
      </c>
    </row>
    <row r="548" spans="1:22" x14ac:dyDescent="0.3">
      <c r="A548" s="1" t="s">
        <v>1183</v>
      </c>
      <c r="B548" s="1" t="s">
        <v>1184</v>
      </c>
      <c r="C548" s="1" t="s">
        <v>24</v>
      </c>
      <c r="D548">
        <v>20</v>
      </c>
      <c r="E548" s="1" t="s">
        <v>137</v>
      </c>
      <c r="F548" s="1" t="s">
        <v>26</v>
      </c>
      <c r="G548" s="1" t="s">
        <v>57</v>
      </c>
      <c r="H548">
        <v>2</v>
      </c>
      <c r="I548">
        <v>40</v>
      </c>
      <c r="K548">
        <v>1</v>
      </c>
      <c r="L548">
        <v>0.91</v>
      </c>
      <c r="M548" s="1" t="s">
        <v>77</v>
      </c>
      <c r="N548" s="1" t="s">
        <v>36</v>
      </c>
      <c r="O548">
        <v>1</v>
      </c>
      <c r="P548">
        <v>1</v>
      </c>
      <c r="Q548" t="str">
        <f t="shared" si="41"/>
        <v>ERIKA MITCHELL</v>
      </c>
      <c r="R548" t="str">
        <f t="shared" si="42"/>
        <v>canada</v>
      </c>
      <c r="S548" t="str">
        <f>PROPER(global_freelancer_raw[[#This Row],[NAME UPPER]])</f>
        <v>Erika Mitchell</v>
      </c>
      <c r="T548" t="str">
        <f t="shared" si="43"/>
        <v>Ca</v>
      </c>
      <c r="U548" t="str">
        <f t="shared" si="40"/>
        <v>a Mitc</v>
      </c>
      <c r="V548" t="str">
        <f t="shared" si="44"/>
        <v>47</v>
      </c>
    </row>
    <row r="549" spans="1:22" x14ac:dyDescent="0.3">
      <c r="A549" s="1" t="s">
        <v>1185</v>
      </c>
      <c r="B549" s="1" t="s">
        <v>1186</v>
      </c>
      <c r="C549" s="1" t="s">
        <v>101</v>
      </c>
      <c r="D549">
        <v>21</v>
      </c>
      <c r="E549" s="1" t="s">
        <v>75</v>
      </c>
      <c r="F549" s="1" t="s">
        <v>26</v>
      </c>
      <c r="G549" s="1" t="s">
        <v>49</v>
      </c>
      <c r="H549">
        <v>0</v>
      </c>
      <c r="I549">
        <v>100</v>
      </c>
      <c r="K549">
        <v>0</v>
      </c>
      <c r="L549">
        <v>0.73</v>
      </c>
      <c r="M549" s="1" t="s">
        <v>77</v>
      </c>
      <c r="N549" s="1" t="s">
        <v>21</v>
      </c>
      <c r="O549">
        <v>1</v>
      </c>
      <c r="P549">
        <v>1</v>
      </c>
      <c r="Q549" t="str">
        <f t="shared" si="41"/>
        <v>RICKY MARTINEZ</v>
      </c>
      <c r="R549" t="str">
        <f t="shared" si="42"/>
        <v>uk</v>
      </c>
      <c r="S549" t="str">
        <f>PROPER(global_freelancer_raw[[#This Row],[NAME UPPER]])</f>
        <v>Ricky Martinez</v>
      </c>
      <c r="T549" t="str">
        <f t="shared" si="43"/>
        <v>UK</v>
      </c>
      <c r="U549" t="str">
        <f t="shared" si="40"/>
        <v>y Mart</v>
      </c>
      <c r="V549" t="str">
        <f t="shared" si="44"/>
        <v>48</v>
      </c>
    </row>
    <row r="550" spans="1:22" x14ac:dyDescent="0.3">
      <c r="A550" s="1" t="s">
        <v>1187</v>
      </c>
      <c r="B550" s="1" t="s">
        <v>1188</v>
      </c>
      <c r="C550" s="1" t="s">
        <v>106</v>
      </c>
      <c r="D550">
        <v>22</v>
      </c>
      <c r="E550" s="1" t="s">
        <v>47</v>
      </c>
      <c r="F550" s="1" t="s">
        <v>48</v>
      </c>
      <c r="G550" s="1" t="s">
        <v>87</v>
      </c>
      <c r="H550">
        <v>1</v>
      </c>
      <c r="I550">
        <v>40</v>
      </c>
      <c r="J550">
        <v>0</v>
      </c>
      <c r="K550">
        <v>0</v>
      </c>
      <c r="L550">
        <v>0.63</v>
      </c>
      <c r="M550" s="1" t="s">
        <v>20</v>
      </c>
      <c r="N550" s="1" t="s">
        <v>65</v>
      </c>
      <c r="O550">
        <v>5</v>
      </c>
      <c r="P550">
        <v>1</v>
      </c>
      <c r="Q550" t="str">
        <f t="shared" si="41"/>
        <v>JOHN CHRISTIAN</v>
      </c>
      <c r="R550" t="str">
        <f t="shared" si="42"/>
        <v>netherlands</v>
      </c>
      <c r="S550" t="str">
        <f>PROPER(global_freelancer_raw[[#This Row],[NAME UPPER]])</f>
        <v>John Christian</v>
      </c>
      <c r="T550" t="str">
        <f t="shared" si="43"/>
        <v>Ne</v>
      </c>
      <c r="U550" t="str">
        <f t="shared" si="40"/>
        <v xml:space="preserve"> Chris</v>
      </c>
      <c r="V550" t="str">
        <f t="shared" si="44"/>
        <v>49</v>
      </c>
    </row>
    <row r="551" spans="1:22" x14ac:dyDescent="0.3">
      <c r="A551" s="1" t="s">
        <v>1189</v>
      </c>
      <c r="B551" s="1" t="s">
        <v>1190</v>
      </c>
      <c r="C551" s="1" t="s">
        <v>39</v>
      </c>
      <c r="D551">
        <v>28</v>
      </c>
      <c r="E551" s="1" t="s">
        <v>75</v>
      </c>
      <c r="F551" s="1" t="s">
        <v>26</v>
      </c>
      <c r="G551" s="1" t="s">
        <v>98</v>
      </c>
      <c r="H551">
        <v>3</v>
      </c>
      <c r="I551" t="s">
        <v>323</v>
      </c>
      <c r="K551">
        <v>1</v>
      </c>
      <c r="L551">
        <v>0.79</v>
      </c>
      <c r="M551" s="1" t="s">
        <v>77</v>
      </c>
      <c r="N551" s="1" t="s">
        <v>36</v>
      </c>
      <c r="O551">
        <v>2</v>
      </c>
      <c r="P551">
        <v>1</v>
      </c>
      <c r="Q551" t="str">
        <f t="shared" si="41"/>
        <v>NANCY SMITH</v>
      </c>
      <c r="R551" t="str">
        <f t="shared" si="42"/>
        <v>uk</v>
      </c>
      <c r="S551" t="str">
        <f>PROPER(global_freelancer_raw[[#This Row],[NAME UPPER]])</f>
        <v>Nancy Smith</v>
      </c>
      <c r="T551" t="str">
        <f t="shared" si="43"/>
        <v>UK</v>
      </c>
      <c r="U551" t="str">
        <f t="shared" si="40"/>
        <v>y Smit</v>
      </c>
      <c r="V551" t="str">
        <f t="shared" si="44"/>
        <v>50</v>
      </c>
    </row>
    <row r="552" spans="1:22" x14ac:dyDescent="0.3">
      <c r="A552" s="1" t="s">
        <v>1191</v>
      </c>
      <c r="B552" s="1" t="s">
        <v>1192</v>
      </c>
      <c r="C552" s="1" t="s">
        <v>39</v>
      </c>
      <c r="D552">
        <v>59</v>
      </c>
      <c r="E552" s="1" t="s">
        <v>80</v>
      </c>
      <c r="F552" s="1" t="s">
        <v>81</v>
      </c>
      <c r="G552" s="1" t="s">
        <v>49</v>
      </c>
      <c r="I552">
        <v>20</v>
      </c>
      <c r="J552">
        <v>4.0999999999999996</v>
      </c>
      <c r="K552">
        <v>0</v>
      </c>
      <c r="L552">
        <v>75</v>
      </c>
      <c r="M552" s="1" t="s">
        <v>77</v>
      </c>
      <c r="N552" s="1" t="s">
        <v>21</v>
      </c>
      <c r="O552">
        <v>2</v>
      </c>
      <c r="P552">
        <v>2</v>
      </c>
      <c r="Q552" t="str">
        <f t="shared" si="41"/>
        <v>CASSANDRA STEPHENS</v>
      </c>
      <c r="R552" t="str">
        <f t="shared" si="42"/>
        <v>argentina</v>
      </c>
      <c r="S552" t="str">
        <f>PROPER(global_freelancer_raw[[#This Row],[NAME UPPER]])</f>
        <v>Cassandra Stephens</v>
      </c>
      <c r="T552" t="str">
        <f t="shared" si="43"/>
        <v>Ar</v>
      </c>
      <c r="U552" t="str">
        <f t="shared" si="40"/>
        <v xml:space="preserve">andra </v>
      </c>
      <c r="V552" t="str">
        <f t="shared" si="44"/>
        <v>51</v>
      </c>
    </row>
    <row r="553" spans="1:22" x14ac:dyDescent="0.3">
      <c r="A553" s="1" t="s">
        <v>1193</v>
      </c>
      <c r="B553" s="1" t="s">
        <v>1194</v>
      </c>
      <c r="C553" s="1" t="s">
        <v>44</v>
      </c>
      <c r="D553">
        <v>28</v>
      </c>
      <c r="E553" s="1" t="s">
        <v>144</v>
      </c>
      <c r="F553" s="1" t="s">
        <v>145</v>
      </c>
      <c r="G553" s="1" t="s">
        <v>40</v>
      </c>
      <c r="H553">
        <v>1</v>
      </c>
      <c r="J553">
        <v>0</v>
      </c>
      <c r="K553">
        <v>0</v>
      </c>
      <c r="L553">
        <v>0.7</v>
      </c>
      <c r="M553" s="1" t="s">
        <v>51</v>
      </c>
      <c r="N553" s="1" t="s">
        <v>36</v>
      </c>
      <c r="O553">
        <v>1</v>
      </c>
      <c r="P553">
        <v>2</v>
      </c>
      <c r="Q553" t="str">
        <f t="shared" si="41"/>
        <v>MISS JANET DONOVAN MD</v>
      </c>
      <c r="R553" t="str">
        <f t="shared" si="42"/>
        <v>france</v>
      </c>
      <c r="S553" t="str">
        <f>PROPER(global_freelancer_raw[[#This Row],[NAME UPPER]])</f>
        <v>Miss Janet Donovan Md</v>
      </c>
      <c r="T553" t="str">
        <f t="shared" si="43"/>
        <v>Fr</v>
      </c>
      <c r="U553" t="str">
        <f t="shared" si="40"/>
        <v xml:space="preserve"> Janet</v>
      </c>
      <c r="V553" t="str">
        <f t="shared" si="44"/>
        <v>52</v>
      </c>
    </row>
    <row r="554" spans="1:22" x14ac:dyDescent="0.3">
      <c r="A554" s="1" t="s">
        <v>1195</v>
      </c>
      <c r="B554" s="1" t="s">
        <v>1196</v>
      </c>
      <c r="C554" s="1" t="s">
        <v>39</v>
      </c>
      <c r="D554">
        <v>40</v>
      </c>
      <c r="E554" s="1" t="s">
        <v>25</v>
      </c>
      <c r="F554" s="1" t="s">
        <v>26</v>
      </c>
      <c r="G554" s="1" t="s">
        <v>98</v>
      </c>
      <c r="H554">
        <v>0</v>
      </c>
      <c r="I554" t="s">
        <v>238</v>
      </c>
      <c r="J554">
        <v>1.2</v>
      </c>
      <c r="L554">
        <v>0.87</v>
      </c>
      <c r="M554" s="1" t="s">
        <v>51</v>
      </c>
      <c r="N554" s="1" t="s">
        <v>21</v>
      </c>
      <c r="O554">
        <v>1</v>
      </c>
      <c r="P554">
        <v>1</v>
      </c>
      <c r="Q554" t="str">
        <f t="shared" si="41"/>
        <v>KRISTINA WILLIAMS</v>
      </c>
      <c r="R554" t="str">
        <f t="shared" si="42"/>
        <v>australia</v>
      </c>
      <c r="S554" t="str">
        <f>PROPER(global_freelancer_raw[[#This Row],[NAME UPPER]])</f>
        <v>Kristina Williams</v>
      </c>
      <c r="T554" t="str">
        <f t="shared" si="43"/>
        <v>Au</v>
      </c>
      <c r="U554" t="str">
        <f t="shared" si="40"/>
        <v>tina W</v>
      </c>
      <c r="V554" t="str">
        <f t="shared" si="44"/>
        <v>53</v>
      </c>
    </row>
    <row r="555" spans="1:22" x14ac:dyDescent="0.3">
      <c r="A555" s="1" t="s">
        <v>1197</v>
      </c>
      <c r="B555" s="1" t="s">
        <v>1198</v>
      </c>
      <c r="C555" s="1" t="s">
        <v>101</v>
      </c>
      <c r="D555">
        <v>57</v>
      </c>
      <c r="E555" s="1" t="s">
        <v>17</v>
      </c>
      <c r="F555" s="1" t="s">
        <v>18</v>
      </c>
      <c r="G555" s="1" t="s">
        <v>19</v>
      </c>
      <c r="H555">
        <v>7</v>
      </c>
      <c r="I555">
        <v>30</v>
      </c>
      <c r="J555">
        <v>1.6</v>
      </c>
      <c r="K555" t="s">
        <v>168</v>
      </c>
      <c r="M555" s="1" t="s">
        <v>20</v>
      </c>
      <c r="N555" s="1" t="s">
        <v>29</v>
      </c>
      <c r="O555">
        <v>13</v>
      </c>
      <c r="P555">
        <v>5</v>
      </c>
      <c r="Q555" t="str">
        <f t="shared" si="41"/>
        <v>WAYNE BARNES</v>
      </c>
      <c r="R555" t="str">
        <f t="shared" si="42"/>
        <v>italy</v>
      </c>
      <c r="S555" t="str">
        <f>PROPER(global_freelancer_raw[[#This Row],[NAME UPPER]])</f>
        <v>Wayne Barnes</v>
      </c>
      <c r="T555" t="str">
        <f t="shared" si="43"/>
        <v>It</v>
      </c>
      <c r="U555" t="str">
        <f t="shared" si="40"/>
        <v>e Barn</v>
      </c>
      <c r="V555" t="str">
        <f t="shared" si="44"/>
        <v>54</v>
      </c>
    </row>
    <row r="556" spans="1:22" x14ac:dyDescent="0.3">
      <c r="A556" s="1" t="s">
        <v>1199</v>
      </c>
      <c r="B556" s="1" t="s">
        <v>1200</v>
      </c>
      <c r="C556" s="1" t="s">
        <v>68</v>
      </c>
      <c r="D556">
        <v>47</v>
      </c>
      <c r="E556" s="1" t="s">
        <v>69</v>
      </c>
      <c r="F556" s="1" t="s">
        <v>70</v>
      </c>
      <c r="G556" s="1" t="s">
        <v>98</v>
      </c>
      <c r="H556">
        <v>1</v>
      </c>
      <c r="I556">
        <v>50</v>
      </c>
      <c r="J556">
        <v>3.9</v>
      </c>
      <c r="K556" t="s">
        <v>83</v>
      </c>
      <c r="L556">
        <v>0.88</v>
      </c>
      <c r="M556" s="1" t="s">
        <v>51</v>
      </c>
      <c r="N556" s="1" t="s">
        <v>65</v>
      </c>
      <c r="O556">
        <v>5</v>
      </c>
      <c r="P556">
        <v>3</v>
      </c>
      <c r="Q556" t="str">
        <f t="shared" si="41"/>
        <v>JAMES HINTON</v>
      </c>
      <c r="R556" t="str">
        <f t="shared" si="42"/>
        <v>turkey</v>
      </c>
      <c r="S556" t="str">
        <f>PROPER(global_freelancer_raw[[#This Row],[NAME UPPER]])</f>
        <v>James Hinton</v>
      </c>
      <c r="T556" t="str">
        <f t="shared" si="43"/>
        <v>Tu</v>
      </c>
      <c r="U556" t="str">
        <f t="shared" si="40"/>
        <v>s Hint</v>
      </c>
      <c r="V556" t="str">
        <f t="shared" si="44"/>
        <v>55</v>
      </c>
    </row>
    <row r="557" spans="1:22" x14ac:dyDescent="0.3">
      <c r="A557" s="1" t="s">
        <v>1201</v>
      </c>
      <c r="B557" s="1" t="s">
        <v>1202</v>
      </c>
      <c r="C557" s="1" t="s">
        <v>32</v>
      </c>
      <c r="D557">
        <v>48</v>
      </c>
      <c r="E557" s="1" t="s">
        <v>121</v>
      </c>
      <c r="F557" s="1" t="s">
        <v>122</v>
      </c>
      <c r="G557" s="1" t="s">
        <v>87</v>
      </c>
      <c r="H557">
        <v>21</v>
      </c>
      <c r="I557">
        <v>40</v>
      </c>
      <c r="J557">
        <v>0</v>
      </c>
      <c r="K557">
        <v>1</v>
      </c>
      <c r="M557" s="1" t="s">
        <v>51</v>
      </c>
      <c r="N557" s="1" t="s">
        <v>36</v>
      </c>
      <c r="O557">
        <v>15</v>
      </c>
      <c r="P557">
        <v>11</v>
      </c>
      <c r="Q557" t="str">
        <f t="shared" si="41"/>
        <v>DAVID SPENCE</v>
      </c>
      <c r="R557" t="str">
        <f t="shared" si="42"/>
        <v>south korea</v>
      </c>
      <c r="S557" t="str">
        <f>PROPER(global_freelancer_raw[[#This Row],[NAME UPPER]])</f>
        <v>David Spence</v>
      </c>
      <c r="T557" t="str">
        <f t="shared" si="43"/>
        <v>So</v>
      </c>
      <c r="U557" t="str">
        <f t="shared" si="40"/>
        <v>d Spen</v>
      </c>
      <c r="V557" t="str">
        <f t="shared" si="44"/>
        <v>56</v>
      </c>
    </row>
    <row r="558" spans="1:22" x14ac:dyDescent="0.3">
      <c r="A558" s="1" t="s">
        <v>1203</v>
      </c>
      <c r="B558" s="1" t="s">
        <v>1204</v>
      </c>
      <c r="C558" s="1" t="s">
        <v>106</v>
      </c>
      <c r="D558">
        <v>28</v>
      </c>
      <c r="E558" s="1" t="s">
        <v>64</v>
      </c>
      <c r="F558" s="1" t="s">
        <v>26</v>
      </c>
      <c r="G558" s="1" t="s">
        <v>82</v>
      </c>
      <c r="H558">
        <v>1</v>
      </c>
      <c r="I558" t="s">
        <v>323</v>
      </c>
      <c r="J558">
        <v>4.7</v>
      </c>
      <c r="K558" t="b">
        <v>0</v>
      </c>
      <c r="L558">
        <v>0.93</v>
      </c>
      <c r="M558" s="1" t="s">
        <v>77</v>
      </c>
      <c r="N558" s="1" t="s">
        <v>21</v>
      </c>
      <c r="O558">
        <v>5</v>
      </c>
      <c r="P558">
        <v>3</v>
      </c>
      <c r="Q558" t="str">
        <f t="shared" si="41"/>
        <v>TYLER COOPER</v>
      </c>
      <c r="R558" t="str">
        <f t="shared" si="42"/>
        <v>us</v>
      </c>
      <c r="S558" t="str">
        <f>PROPER(global_freelancer_raw[[#This Row],[NAME UPPER]])</f>
        <v>Tyler Cooper</v>
      </c>
      <c r="T558" t="str">
        <f t="shared" si="43"/>
        <v>US</v>
      </c>
      <c r="U558" t="str">
        <f t="shared" si="40"/>
        <v>r Coop</v>
      </c>
      <c r="V558" t="str">
        <f t="shared" si="44"/>
        <v>57</v>
      </c>
    </row>
    <row r="559" spans="1:22" x14ac:dyDescent="0.3">
      <c r="A559" s="1" t="s">
        <v>1205</v>
      </c>
      <c r="B559" s="1" t="s">
        <v>1206</v>
      </c>
      <c r="C559" s="1" t="s">
        <v>101</v>
      </c>
      <c r="D559">
        <v>41</v>
      </c>
      <c r="E559" s="1" t="s">
        <v>69</v>
      </c>
      <c r="F559" s="1" t="s">
        <v>70</v>
      </c>
      <c r="G559" s="1" t="s">
        <v>34</v>
      </c>
      <c r="H559">
        <v>15</v>
      </c>
      <c r="J559">
        <v>3.8</v>
      </c>
      <c r="K559">
        <v>1</v>
      </c>
      <c r="M559" s="1" t="s">
        <v>72</v>
      </c>
      <c r="N559" s="1" t="s">
        <v>36</v>
      </c>
      <c r="O559">
        <v>13</v>
      </c>
      <c r="P559">
        <v>5</v>
      </c>
      <c r="Q559" t="str">
        <f t="shared" si="41"/>
        <v>SEAN MARTINEZ</v>
      </c>
      <c r="R559" t="str">
        <f t="shared" si="42"/>
        <v>turkey</v>
      </c>
      <c r="S559" t="str">
        <f>PROPER(global_freelancer_raw[[#This Row],[NAME UPPER]])</f>
        <v>Sean Martinez</v>
      </c>
      <c r="T559" t="str">
        <f t="shared" si="43"/>
        <v>Tu</v>
      </c>
      <c r="U559" t="str">
        <f t="shared" si="40"/>
        <v xml:space="preserve"> Marti</v>
      </c>
      <c r="V559" t="str">
        <f t="shared" si="44"/>
        <v>58</v>
      </c>
    </row>
    <row r="560" spans="1:22" x14ac:dyDescent="0.3">
      <c r="A560" s="1" t="s">
        <v>1207</v>
      </c>
      <c r="B560" s="1" t="s">
        <v>1208</v>
      </c>
      <c r="C560" s="1" t="s">
        <v>16</v>
      </c>
      <c r="D560">
        <v>57</v>
      </c>
      <c r="E560" s="1" t="s">
        <v>162</v>
      </c>
      <c r="F560" s="1" t="s">
        <v>163</v>
      </c>
      <c r="G560" s="1" t="s">
        <v>87</v>
      </c>
      <c r="H560">
        <v>33</v>
      </c>
      <c r="I560">
        <v>100</v>
      </c>
      <c r="J560">
        <v>3.5</v>
      </c>
      <c r="K560" t="s">
        <v>168</v>
      </c>
      <c r="L560">
        <v>0.74</v>
      </c>
      <c r="M560" s="1" t="s">
        <v>51</v>
      </c>
      <c r="N560" s="1" t="s">
        <v>36</v>
      </c>
      <c r="O560">
        <v>19</v>
      </c>
      <c r="P560">
        <v>17</v>
      </c>
      <c r="Q560" t="str">
        <f t="shared" si="41"/>
        <v>JANET BARRON</v>
      </c>
      <c r="R560" t="str">
        <f t="shared" si="42"/>
        <v>south africa</v>
      </c>
      <c r="S560" t="str">
        <f>PROPER(global_freelancer_raw[[#This Row],[NAME UPPER]])</f>
        <v>Janet Barron</v>
      </c>
      <c r="T560" t="str">
        <f t="shared" si="43"/>
        <v>So</v>
      </c>
      <c r="U560" t="str">
        <f t="shared" si="40"/>
        <v>t Barr</v>
      </c>
      <c r="V560" t="str">
        <f t="shared" si="44"/>
        <v>59</v>
      </c>
    </row>
    <row r="561" spans="1:22" x14ac:dyDescent="0.3">
      <c r="A561" s="1" t="s">
        <v>1209</v>
      </c>
      <c r="B561" s="1" t="s">
        <v>1210</v>
      </c>
      <c r="C561" s="1" t="s">
        <v>32</v>
      </c>
      <c r="D561">
        <v>60</v>
      </c>
      <c r="E561" s="1" t="s">
        <v>80</v>
      </c>
      <c r="F561" s="1" t="s">
        <v>81</v>
      </c>
      <c r="G561" s="1" t="s">
        <v>34</v>
      </c>
      <c r="H561">
        <v>39</v>
      </c>
      <c r="I561" t="s">
        <v>58</v>
      </c>
      <c r="J561">
        <v>4</v>
      </c>
      <c r="L561">
        <v>0.7</v>
      </c>
      <c r="M561" s="1" t="s">
        <v>72</v>
      </c>
      <c r="N561" s="1" t="s">
        <v>65</v>
      </c>
      <c r="O561">
        <v>15</v>
      </c>
      <c r="P561">
        <v>15</v>
      </c>
      <c r="Q561" t="str">
        <f t="shared" si="41"/>
        <v>RODNEY WILSON</v>
      </c>
      <c r="R561" t="str">
        <f t="shared" si="42"/>
        <v>argentina</v>
      </c>
      <c r="S561" t="str">
        <f>PROPER(global_freelancer_raw[[#This Row],[NAME UPPER]])</f>
        <v>Rodney Wilson</v>
      </c>
      <c r="T561" t="str">
        <f t="shared" si="43"/>
        <v>Ar</v>
      </c>
      <c r="U561" t="str">
        <f t="shared" si="40"/>
        <v>ey Wil</v>
      </c>
      <c r="V561" t="str">
        <f t="shared" si="44"/>
        <v>60</v>
      </c>
    </row>
    <row r="562" spans="1:22" x14ac:dyDescent="0.3">
      <c r="A562" s="1" t="s">
        <v>1211</v>
      </c>
      <c r="B562" s="1" t="s">
        <v>1212</v>
      </c>
      <c r="C562" s="1" t="s">
        <v>44</v>
      </c>
      <c r="D562">
        <v>48</v>
      </c>
      <c r="E562" s="1" t="s">
        <v>148</v>
      </c>
      <c r="F562" s="1" t="s">
        <v>149</v>
      </c>
      <c r="G562" s="1" t="s">
        <v>34</v>
      </c>
      <c r="H562">
        <v>21</v>
      </c>
      <c r="I562">
        <v>30</v>
      </c>
      <c r="J562">
        <v>1.6</v>
      </c>
      <c r="K562" t="s">
        <v>83</v>
      </c>
      <c r="L562">
        <v>0.67</v>
      </c>
      <c r="M562" s="1" t="s">
        <v>51</v>
      </c>
      <c r="N562" s="1" t="s">
        <v>29</v>
      </c>
      <c r="O562">
        <v>15</v>
      </c>
      <c r="P562">
        <v>5</v>
      </c>
      <c r="Q562" t="str">
        <f t="shared" si="41"/>
        <v>KIMBERLY FITZGERALD</v>
      </c>
      <c r="R562" t="str">
        <f t="shared" si="42"/>
        <v>egypt</v>
      </c>
      <c r="S562" t="str">
        <f>PROPER(global_freelancer_raw[[#This Row],[NAME UPPER]])</f>
        <v>Kimberly Fitzgerald</v>
      </c>
      <c r="T562" t="str">
        <f t="shared" si="43"/>
        <v>Eg</v>
      </c>
      <c r="U562" t="str">
        <f t="shared" si="40"/>
        <v>erly F</v>
      </c>
      <c r="V562" t="str">
        <f t="shared" si="44"/>
        <v>61</v>
      </c>
    </row>
    <row r="563" spans="1:22" x14ac:dyDescent="0.3">
      <c r="A563" s="1" t="s">
        <v>1213</v>
      </c>
      <c r="B563" s="1" t="s">
        <v>1214</v>
      </c>
      <c r="C563" s="1" t="s">
        <v>86</v>
      </c>
      <c r="D563">
        <v>24</v>
      </c>
      <c r="E563" s="1" t="s">
        <v>144</v>
      </c>
      <c r="F563" s="1" t="s">
        <v>145</v>
      </c>
      <c r="G563" s="1" t="s">
        <v>87</v>
      </c>
      <c r="H563">
        <v>5</v>
      </c>
      <c r="I563">
        <v>40</v>
      </c>
      <c r="J563">
        <v>3</v>
      </c>
      <c r="K563" t="s">
        <v>168</v>
      </c>
      <c r="L563">
        <v>0.86</v>
      </c>
      <c r="M563" s="1" t="s">
        <v>51</v>
      </c>
      <c r="N563" s="1" t="s">
        <v>36</v>
      </c>
      <c r="O563">
        <v>1</v>
      </c>
      <c r="P563">
        <v>1</v>
      </c>
      <c r="Q563" t="str">
        <f t="shared" si="41"/>
        <v>NICOLE DAVIS</v>
      </c>
      <c r="R563" t="str">
        <f t="shared" si="42"/>
        <v>france</v>
      </c>
      <c r="S563" t="str">
        <f>PROPER(global_freelancer_raw[[#This Row],[NAME UPPER]])</f>
        <v>Nicole Davis</v>
      </c>
      <c r="T563" t="str">
        <f t="shared" si="43"/>
        <v>Fr</v>
      </c>
      <c r="U563" t="str">
        <f t="shared" si="40"/>
        <v>le Dav</v>
      </c>
      <c r="V563" t="str">
        <f t="shared" si="44"/>
        <v>62</v>
      </c>
    </row>
    <row r="564" spans="1:22" x14ac:dyDescent="0.3">
      <c r="A564" s="1" t="s">
        <v>1215</v>
      </c>
      <c r="B564" s="1" t="s">
        <v>1216</v>
      </c>
      <c r="C564" s="1" t="s">
        <v>24</v>
      </c>
      <c r="D564">
        <v>33</v>
      </c>
      <c r="E564" s="1" t="s">
        <v>188</v>
      </c>
      <c r="F564" s="1" t="s">
        <v>81</v>
      </c>
      <c r="G564" s="1" t="s">
        <v>98</v>
      </c>
      <c r="H564">
        <v>11</v>
      </c>
      <c r="I564">
        <v>50</v>
      </c>
      <c r="J564">
        <v>5</v>
      </c>
      <c r="K564" t="s">
        <v>76</v>
      </c>
      <c r="L564">
        <v>0.69</v>
      </c>
      <c r="M564" s="1" t="s">
        <v>20</v>
      </c>
      <c r="N564" s="1" t="s">
        <v>21</v>
      </c>
      <c r="O564">
        <v>8</v>
      </c>
      <c r="P564">
        <v>9</v>
      </c>
      <c r="Q564" t="str">
        <f t="shared" si="41"/>
        <v>ELIZABETH HAYES</v>
      </c>
      <c r="R564" t="str">
        <f t="shared" si="42"/>
        <v>mexico</v>
      </c>
      <c r="S564" t="str">
        <f>PROPER(global_freelancer_raw[[#This Row],[NAME UPPER]])</f>
        <v>Elizabeth Hayes</v>
      </c>
      <c r="T564" t="str">
        <f t="shared" si="43"/>
        <v>Me</v>
      </c>
      <c r="U564" t="str">
        <f t="shared" si="40"/>
        <v xml:space="preserve">abeth </v>
      </c>
      <c r="V564" t="str">
        <f t="shared" si="44"/>
        <v>63</v>
      </c>
    </row>
    <row r="565" spans="1:22" x14ac:dyDescent="0.3">
      <c r="A565" s="1" t="s">
        <v>1217</v>
      </c>
      <c r="B565" s="1" t="s">
        <v>1218</v>
      </c>
      <c r="C565" s="1" t="s">
        <v>24</v>
      </c>
      <c r="D565">
        <v>20</v>
      </c>
      <c r="E565" s="1" t="s">
        <v>69</v>
      </c>
      <c r="F565" s="1" t="s">
        <v>70</v>
      </c>
      <c r="G565" s="1" t="s">
        <v>34</v>
      </c>
      <c r="H565">
        <v>0</v>
      </c>
      <c r="I565">
        <v>30</v>
      </c>
      <c r="J565">
        <v>4.8</v>
      </c>
      <c r="K565" t="s">
        <v>76</v>
      </c>
      <c r="L565">
        <v>0.68</v>
      </c>
      <c r="M565" s="1" t="s">
        <v>20</v>
      </c>
      <c r="N565" s="1" t="s">
        <v>21</v>
      </c>
      <c r="O565">
        <v>5</v>
      </c>
      <c r="P565">
        <v>3</v>
      </c>
      <c r="Q565" t="str">
        <f t="shared" si="41"/>
        <v>KATHY FAULKNER</v>
      </c>
      <c r="R565" t="str">
        <f t="shared" si="42"/>
        <v>turkey</v>
      </c>
      <c r="S565" t="str">
        <f>PROPER(global_freelancer_raw[[#This Row],[NAME UPPER]])</f>
        <v>Kathy Faulkner</v>
      </c>
      <c r="T565" t="str">
        <f t="shared" si="43"/>
        <v>Tu</v>
      </c>
      <c r="U565" t="str">
        <f t="shared" si="40"/>
        <v>y Faul</v>
      </c>
      <c r="V565" t="str">
        <f t="shared" si="44"/>
        <v>64</v>
      </c>
    </row>
    <row r="566" spans="1:22" x14ac:dyDescent="0.3">
      <c r="A566" s="1" t="s">
        <v>1219</v>
      </c>
      <c r="B566" s="1" t="s">
        <v>1220</v>
      </c>
      <c r="C566" s="1" t="s">
        <v>68</v>
      </c>
      <c r="D566">
        <v>59</v>
      </c>
      <c r="E566" s="1" t="s">
        <v>75</v>
      </c>
      <c r="F566" s="1" t="s">
        <v>26</v>
      </c>
      <c r="G566" s="1" t="s">
        <v>98</v>
      </c>
      <c r="H566">
        <v>15</v>
      </c>
      <c r="I566" t="s">
        <v>71</v>
      </c>
      <c r="K566" t="s">
        <v>168</v>
      </c>
      <c r="M566" s="1" t="s">
        <v>20</v>
      </c>
      <c r="N566" s="1" t="s">
        <v>29</v>
      </c>
      <c r="O566">
        <v>7</v>
      </c>
      <c r="P566">
        <v>8</v>
      </c>
      <c r="Q566" t="str">
        <f t="shared" si="41"/>
        <v>JOHN GONZALES</v>
      </c>
      <c r="R566" t="str">
        <f t="shared" si="42"/>
        <v>uk</v>
      </c>
      <c r="S566" t="str">
        <f>PROPER(global_freelancer_raw[[#This Row],[NAME UPPER]])</f>
        <v>John Gonzales</v>
      </c>
      <c r="T566" t="str">
        <f t="shared" si="43"/>
        <v>UK</v>
      </c>
      <c r="U566" t="str">
        <f t="shared" si="40"/>
        <v xml:space="preserve"> Gonza</v>
      </c>
      <c r="V566" t="str">
        <f t="shared" si="44"/>
        <v>65</v>
      </c>
    </row>
    <row r="567" spans="1:22" x14ac:dyDescent="0.3">
      <c r="A567" s="1" t="s">
        <v>1221</v>
      </c>
      <c r="B567" s="1" t="s">
        <v>1222</v>
      </c>
      <c r="C567" s="1" t="s">
        <v>44</v>
      </c>
      <c r="D567">
        <v>42</v>
      </c>
      <c r="E567" s="1" t="s">
        <v>184</v>
      </c>
      <c r="F567" s="1" t="s">
        <v>185</v>
      </c>
      <c r="G567" s="1" t="s">
        <v>98</v>
      </c>
      <c r="H567">
        <v>22</v>
      </c>
      <c r="J567">
        <v>2.9</v>
      </c>
      <c r="K567">
        <v>0</v>
      </c>
      <c r="L567">
        <v>0.61</v>
      </c>
      <c r="M567" s="1" t="s">
        <v>72</v>
      </c>
      <c r="N567" s="1" t="s">
        <v>21</v>
      </c>
      <c r="O567">
        <v>14</v>
      </c>
      <c r="P567">
        <v>9</v>
      </c>
      <c r="Q567" t="str">
        <f t="shared" si="41"/>
        <v>SHANNON LUNA</v>
      </c>
      <c r="R567" t="str">
        <f t="shared" si="42"/>
        <v>china</v>
      </c>
      <c r="S567" t="str">
        <f>PROPER(global_freelancer_raw[[#This Row],[NAME UPPER]])</f>
        <v>Shannon Luna</v>
      </c>
      <c r="T567" t="str">
        <f t="shared" si="43"/>
        <v>Ch</v>
      </c>
      <c r="U567" t="str">
        <f t="shared" si="40"/>
        <v>non Lu</v>
      </c>
      <c r="V567" t="str">
        <f t="shared" si="44"/>
        <v>66</v>
      </c>
    </row>
    <row r="568" spans="1:22" x14ac:dyDescent="0.3">
      <c r="A568" s="1" t="s">
        <v>1223</v>
      </c>
      <c r="B568" s="1" t="s">
        <v>1224</v>
      </c>
      <c r="C568" s="1" t="s">
        <v>24</v>
      </c>
      <c r="D568">
        <v>22</v>
      </c>
      <c r="E568" s="1" t="s">
        <v>69</v>
      </c>
      <c r="F568" s="1" t="s">
        <v>70</v>
      </c>
      <c r="G568" s="1" t="s">
        <v>82</v>
      </c>
      <c r="H568">
        <v>3</v>
      </c>
      <c r="J568">
        <v>3</v>
      </c>
      <c r="K568" t="b">
        <v>1</v>
      </c>
      <c r="L568">
        <v>0.96</v>
      </c>
      <c r="M568" s="1" t="s">
        <v>77</v>
      </c>
      <c r="N568" s="1" t="s">
        <v>29</v>
      </c>
      <c r="O568">
        <v>1</v>
      </c>
      <c r="P568">
        <v>2</v>
      </c>
      <c r="Q568" t="str">
        <f t="shared" si="41"/>
        <v>STEPHANIE BURTON</v>
      </c>
      <c r="R568" t="str">
        <f t="shared" si="42"/>
        <v>turkey</v>
      </c>
      <c r="S568" t="str">
        <f>PROPER(global_freelancer_raw[[#This Row],[NAME UPPER]])</f>
        <v>Stephanie Burton</v>
      </c>
      <c r="T568" t="str">
        <f t="shared" si="43"/>
        <v>Tu</v>
      </c>
      <c r="U568" t="str">
        <f t="shared" si="40"/>
        <v xml:space="preserve">hanie </v>
      </c>
      <c r="V568" t="str">
        <f t="shared" si="44"/>
        <v>67</v>
      </c>
    </row>
    <row r="569" spans="1:22" x14ac:dyDescent="0.3">
      <c r="A569" s="1" t="s">
        <v>1225</v>
      </c>
      <c r="B569" s="1" t="s">
        <v>1226</v>
      </c>
      <c r="C569" s="1" t="s">
        <v>101</v>
      </c>
      <c r="D569">
        <v>41</v>
      </c>
      <c r="E569" s="1" t="s">
        <v>137</v>
      </c>
      <c r="F569" s="1" t="s">
        <v>26</v>
      </c>
      <c r="G569" s="1" t="s">
        <v>87</v>
      </c>
      <c r="H569">
        <v>11</v>
      </c>
      <c r="I569">
        <v>50</v>
      </c>
      <c r="J569">
        <v>3.5</v>
      </c>
      <c r="K569">
        <v>1</v>
      </c>
      <c r="L569">
        <v>0.68</v>
      </c>
      <c r="M569" s="1" t="s">
        <v>51</v>
      </c>
      <c r="N569" s="1" t="s">
        <v>21</v>
      </c>
      <c r="O569">
        <v>12</v>
      </c>
      <c r="P569">
        <v>1</v>
      </c>
      <c r="Q569" t="str">
        <f t="shared" si="41"/>
        <v>KEVIN GONZALES</v>
      </c>
      <c r="R569" t="str">
        <f t="shared" si="42"/>
        <v>canada</v>
      </c>
      <c r="S569" t="str">
        <f>PROPER(global_freelancer_raw[[#This Row],[NAME UPPER]])</f>
        <v>Kevin Gonzales</v>
      </c>
      <c r="T569" t="str">
        <f t="shared" si="43"/>
        <v>Ca</v>
      </c>
      <c r="U569" t="str">
        <f t="shared" si="40"/>
        <v>n Gonz</v>
      </c>
      <c r="V569" t="str">
        <f t="shared" si="44"/>
        <v>68</v>
      </c>
    </row>
    <row r="570" spans="1:22" x14ac:dyDescent="0.3">
      <c r="A570" s="1" t="s">
        <v>1227</v>
      </c>
      <c r="B570" s="1" t="s">
        <v>1228</v>
      </c>
      <c r="C570" s="1" t="s">
        <v>86</v>
      </c>
      <c r="D570">
        <v>25</v>
      </c>
      <c r="E570" s="1" t="s">
        <v>80</v>
      </c>
      <c r="F570" s="1" t="s">
        <v>81</v>
      </c>
      <c r="G570" s="1" t="s">
        <v>40</v>
      </c>
      <c r="H570">
        <v>5</v>
      </c>
      <c r="I570">
        <v>40</v>
      </c>
      <c r="K570" t="b">
        <v>1</v>
      </c>
      <c r="L570">
        <v>0.75</v>
      </c>
      <c r="M570" s="1" t="s">
        <v>51</v>
      </c>
      <c r="N570" s="1" t="s">
        <v>65</v>
      </c>
      <c r="O570">
        <v>4</v>
      </c>
      <c r="P570">
        <v>1</v>
      </c>
      <c r="Q570" t="str">
        <f t="shared" si="41"/>
        <v>DAWN HARDY</v>
      </c>
      <c r="R570" t="str">
        <f t="shared" si="42"/>
        <v>argentina</v>
      </c>
      <c r="S570" t="str">
        <f>PROPER(global_freelancer_raw[[#This Row],[NAME UPPER]])</f>
        <v>Dawn Hardy</v>
      </c>
      <c r="T570" t="str">
        <f t="shared" si="43"/>
        <v>Ar</v>
      </c>
      <c r="U570" t="str">
        <f t="shared" si="40"/>
        <v xml:space="preserve"> Hardy</v>
      </c>
      <c r="V570" t="str">
        <f t="shared" si="44"/>
        <v>69</v>
      </c>
    </row>
    <row r="571" spans="1:22" x14ac:dyDescent="0.3">
      <c r="A571" s="1" t="s">
        <v>1229</v>
      </c>
      <c r="B571" s="1" t="s">
        <v>1230</v>
      </c>
      <c r="C571" s="1" t="s">
        <v>16</v>
      </c>
      <c r="D571">
        <v>38</v>
      </c>
      <c r="E571" s="1" t="s">
        <v>137</v>
      </c>
      <c r="F571" s="1" t="s">
        <v>26</v>
      </c>
      <c r="G571" s="1" t="s">
        <v>82</v>
      </c>
      <c r="H571">
        <v>3</v>
      </c>
      <c r="I571">
        <v>40</v>
      </c>
      <c r="J571">
        <v>4.7</v>
      </c>
      <c r="K571">
        <v>0</v>
      </c>
      <c r="L571">
        <v>0.69</v>
      </c>
      <c r="M571" s="1" t="s">
        <v>51</v>
      </c>
      <c r="N571" s="1" t="s">
        <v>36</v>
      </c>
      <c r="O571">
        <v>4</v>
      </c>
      <c r="P571">
        <v>2</v>
      </c>
      <c r="Q571" t="str">
        <f t="shared" si="41"/>
        <v>MARGARET PERKINS</v>
      </c>
      <c r="R571" t="str">
        <f t="shared" si="42"/>
        <v>canada</v>
      </c>
      <c r="S571" t="str">
        <f>PROPER(global_freelancer_raw[[#This Row],[NAME UPPER]])</f>
        <v>Margaret Perkins</v>
      </c>
      <c r="T571" t="str">
        <f t="shared" si="43"/>
        <v>Ca</v>
      </c>
      <c r="U571" t="str">
        <f t="shared" si="40"/>
        <v>aret P</v>
      </c>
      <c r="V571" t="str">
        <f t="shared" si="44"/>
        <v>70</v>
      </c>
    </row>
    <row r="572" spans="1:22" x14ac:dyDescent="0.3">
      <c r="A572" s="1" t="s">
        <v>1231</v>
      </c>
      <c r="B572" s="1" t="s">
        <v>1232</v>
      </c>
      <c r="C572" s="1" t="s">
        <v>44</v>
      </c>
      <c r="D572">
        <v>43</v>
      </c>
      <c r="E572" s="1" t="s">
        <v>64</v>
      </c>
      <c r="F572" s="1" t="s">
        <v>26</v>
      </c>
      <c r="G572" s="1" t="s">
        <v>98</v>
      </c>
      <c r="H572">
        <v>1</v>
      </c>
      <c r="J572">
        <v>2.9</v>
      </c>
      <c r="K572" t="s">
        <v>168</v>
      </c>
      <c r="L572">
        <v>0.78</v>
      </c>
      <c r="M572" s="1" t="s">
        <v>72</v>
      </c>
      <c r="N572" s="1" t="s">
        <v>65</v>
      </c>
      <c r="O572">
        <v>5</v>
      </c>
      <c r="P572">
        <v>2</v>
      </c>
      <c r="Q572" t="str">
        <f t="shared" si="41"/>
        <v>AMANDA VARGAS</v>
      </c>
      <c r="R572" t="str">
        <f t="shared" si="42"/>
        <v>us</v>
      </c>
      <c r="S572" t="str">
        <f>PROPER(global_freelancer_raw[[#This Row],[NAME UPPER]])</f>
        <v>Amanda Vargas</v>
      </c>
      <c r="T572" t="str">
        <f t="shared" si="43"/>
        <v>US</v>
      </c>
      <c r="U572" t="str">
        <f t="shared" si="40"/>
        <v>da Var</v>
      </c>
      <c r="V572" t="str">
        <f t="shared" si="44"/>
        <v>71</v>
      </c>
    </row>
    <row r="573" spans="1:22" x14ac:dyDescent="0.3">
      <c r="A573" s="1" t="s">
        <v>1233</v>
      </c>
      <c r="B573" s="1" t="s">
        <v>1234</v>
      </c>
      <c r="C573" s="1" t="s">
        <v>39</v>
      </c>
      <c r="D573">
        <v>54</v>
      </c>
      <c r="E573" s="1" t="s">
        <v>188</v>
      </c>
      <c r="F573" s="1" t="s">
        <v>81</v>
      </c>
      <c r="G573" s="1" t="s">
        <v>49</v>
      </c>
      <c r="H573">
        <v>1</v>
      </c>
      <c r="I573">
        <v>75</v>
      </c>
      <c r="J573">
        <v>4.4000000000000004</v>
      </c>
      <c r="K573" t="s">
        <v>83</v>
      </c>
      <c r="M573" s="1" t="s">
        <v>20</v>
      </c>
      <c r="N573" s="1" t="s">
        <v>36</v>
      </c>
      <c r="O573">
        <v>4</v>
      </c>
      <c r="P573">
        <v>5</v>
      </c>
      <c r="Q573" t="str">
        <f t="shared" si="41"/>
        <v>TONYA GONZALEZ</v>
      </c>
      <c r="R573" t="str">
        <f t="shared" si="42"/>
        <v>mexico</v>
      </c>
      <c r="S573" t="str">
        <f>PROPER(global_freelancer_raw[[#This Row],[NAME UPPER]])</f>
        <v>Tonya Gonzalez</v>
      </c>
      <c r="T573" t="str">
        <f t="shared" si="43"/>
        <v>Me</v>
      </c>
      <c r="U573" t="str">
        <f t="shared" si="40"/>
        <v>a Gonz</v>
      </c>
      <c r="V573" t="str">
        <f t="shared" si="44"/>
        <v>72</v>
      </c>
    </row>
    <row r="574" spans="1:22" x14ac:dyDescent="0.3">
      <c r="A574" s="1" t="s">
        <v>1235</v>
      </c>
      <c r="B574" s="1" t="s">
        <v>1236</v>
      </c>
      <c r="C574" s="1" t="s">
        <v>39</v>
      </c>
      <c r="D574">
        <v>31</v>
      </c>
      <c r="E574" s="1" t="s">
        <v>55</v>
      </c>
      <c r="F574" s="1" t="s">
        <v>56</v>
      </c>
      <c r="G574" s="1" t="s">
        <v>27</v>
      </c>
      <c r="H574">
        <v>2</v>
      </c>
      <c r="I574">
        <v>40</v>
      </c>
      <c r="J574">
        <v>2.2999999999999998</v>
      </c>
      <c r="K574" t="s">
        <v>35</v>
      </c>
      <c r="L574">
        <v>0.98</v>
      </c>
      <c r="M574" s="1" t="s">
        <v>77</v>
      </c>
      <c r="N574" s="1" t="s">
        <v>36</v>
      </c>
      <c r="O574">
        <v>5</v>
      </c>
      <c r="P574">
        <v>1</v>
      </c>
      <c r="Q574" t="str">
        <f t="shared" si="41"/>
        <v>ELIZABETH BOWMAN</v>
      </c>
      <c r="R574" t="str">
        <f t="shared" si="42"/>
        <v>indonesia</v>
      </c>
      <c r="S574" t="str">
        <f>PROPER(global_freelancer_raw[[#This Row],[NAME UPPER]])</f>
        <v>Elizabeth Bowman</v>
      </c>
      <c r="T574" t="str">
        <f t="shared" si="43"/>
        <v>In</v>
      </c>
      <c r="U574" t="str">
        <f t="shared" si="40"/>
        <v xml:space="preserve">abeth </v>
      </c>
      <c r="V574" t="str">
        <f t="shared" si="44"/>
        <v>73</v>
      </c>
    </row>
    <row r="575" spans="1:22" x14ac:dyDescent="0.3">
      <c r="A575" s="1" t="s">
        <v>1237</v>
      </c>
      <c r="B575" s="1" t="s">
        <v>1238</v>
      </c>
      <c r="C575" s="1" t="s">
        <v>16</v>
      </c>
      <c r="D575">
        <v>56</v>
      </c>
      <c r="E575" s="1" t="s">
        <v>188</v>
      </c>
      <c r="F575" s="1" t="s">
        <v>81</v>
      </c>
      <c r="G575" s="1" t="s">
        <v>49</v>
      </c>
      <c r="H575">
        <v>3</v>
      </c>
      <c r="I575" t="s">
        <v>50</v>
      </c>
      <c r="J575">
        <v>3.7</v>
      </c>
      <c r="L575">
        <v>0.83</v>
      </c>
      <c r="M575" s="1" t="s">
        <v>72</v>
      </c>
      <c r="N575" s="1" t="s">
        <v>36</v>
      </c>
      <c r="O575">
        <v>4</v>
      </c>
      <c r="P575">
        <v>2</v>
      </c>
      <c r="Q575" t="str">
        <f t="shared" si="41"/>
        <v>ARIANA PITTMAN</v>
      </c>
      <c r="R575" t="str">
        <f t="shared" si="42"/>
        <v>mexico</v>
      </c>
      <c r="S575" t="str">
        <f>PROPER(global_freelancer_raw[[#This Row],[NAME UPPER]])</f>
        <v>Ariana Pittman</v>
      </c>
      <c r="T575" t="str">
        <f t="shared" si="43"/>
        <v>Me</v>
      </c>
      <c r="U575" t="str">
        <f t="shared" si="40"/>
        <v>na Pit</v>
      </c>
      <c r="V575" t="str">
        <f t="shared" si="44"/>
        <v>74</v>
      </c>
    </row>
    <row r="576" spans="1:22" x14ac:dyDescent="0.3">
      <c r="A576" s="1" t="s">
        <v>1239</v>
      </c>
      <c r="B576" s="1" t="s">
        <v>1240</v>
      </c>
      <c r="C576" s="1" t="s">
        <v>68</v>
      </c>
      <c r="D576">
        <v>46</v>
      </c>
      <c r="E576" s="1" t="s">
        <v>188</v>
      </c>
      <c r="F576" s="1" t="s">
        <v>81</v>
      </c>
      <c r="G576" s="1" t="s">
        <v>34</v>
      </c>
      <c r="H576">
        <v>11</v>
      </c>
      <c r="J576">
        <v>1.8</v>
      </c>
      <c r="K576">
        <v>1</v>
      </c>
      <c r="L576">
        <v>0.91</v>
      </c>
      <c r="M576" s="1" t="s">
        <v>20</v>
      </c>
      <c r="N576" s="1" t="s">
        <v>65</v>
      </c>
      <c r="O576">
        <v>8</v>
      </c>
      <c r="P576">
        <v>9</v>
      </c>
      <c r="Q576" t="str">
        <f t="shared" si="41"/>
        <v>ANTONIO JOHNSON</v>
      </c>
      <c r="R576" t="str">
        <f t="shared" si="42"/>
        <v>mexico</v>
      </c>
      <c r="S576" t="str">
        <f>PROPER(global_freelancer_raw[[#This Row],[NAME UPPER]])</f>
        <v>Antonio Johnson</v>
      </c>
      <c r="T576" t="str">
        <f t="shared" si="43"/>
        <v>Me</v>
      </c>
      <c r="U576" t="str">
        <f t="shared" si="40"/>
        <v>nio Jo</v>
      </c>
      <c r="V576" t="str">
        <f t="shared" si="44"/>
        <v>75</v>
      </c>
    </row>
    <row r="577" spans="1:22" x14ac:dyDescent="0.3">
      <c r="A577" s="1" t="s">
        <v>1241</v>
      </c>
      <c r="B577" s="1" t="s">
        <v>1242</v>
      </c>
      <c r="C577" s="1" t="s">
        <v>106</v>
      </c>
      <c r="D577">
        <v>60</v>
      </c>
      <c r="E577" s="1" t="s">
        <v>148</v>
      </c>
      <c r="F577" s="1" t="s">
        <v>149</v>
      </c>
      <c r="G577" s="1" t="s">
        <v>49</v>
      </c>
      <c r="I577">
        <v>100</v>
      </c>
      <c r="J577">
        <v>0</v>
      </c>
      <c r="K577">
        <v>1</v>
      </c>
      <c r="L577">
        <v>0.96</v>
      </c>
      <c r="M577" s="1" t="s">
        <v>72</v>
      </c>
      <c r="N577" s="1" t="s">
        <v>36</v>
      </c>
      <c r="O577">
        <v>5</v>
      </c>
      <c r="P577">
        <v>1</v>
      </c>
      <c r="Q577" t="str">
        <f t="shared" si="41"/>
        <v>JUSTIN LANG</v>
      </c>
      <c r="R577" t="str">
        <f t="shared" si="42"/>
        <v>egypt</v>
      </c>
      <c r="S577" t="str">
        <f>PROPER(global_freelancer_raw[[#This Row],[NAME UPPER]])</f>
        <v>Justin Lang</v>
      </c>
      <c r="T577" t="str">
        <f t="shared" si="43"/>
        <v>Eg</v>
      </c>
      <c r="U577" t="str">
        <f t="shared" si="40"/>
        <v>in Lan</v>
      </c>
      <c r="V577" t="str">
        <f t="shared" si="44"/>
        <v>76</v>
      </c>
    </row>
    <row r="578" spans="1:22" x14ac:dyDescent="0.3">
      <c r="A578" s="1" t="s">
        <v>1243</v>
      </c>
      <c r="B578" s="1" t="s">
        <v>1244</v>
      </c>
      <c r="C578" s="1" t="s">
        <v>39</v>
      </c>
      <c r="D578">
        <v>28</v>
      </c>
      <c r="E578" s="1" t="s">
        <v>121</v>
      </c>
      <c r="F578" s="1" t="s">
        <v>122</v>
      </c>
      <c r="G578" s="1" t="s">
        <v>34</v>
      </c>
      <c r="H578">
        <v>2</v>
      </c>
      <c r="I578" t="s">
        <v>107</v>
      </c>
      <c r="K578">
        <v>1</v>
      </c>
      <c r="L578">
        <v>0.85</v>
      </c>
      <c r="M578" s="1" t="s">
        <v>77</v>
      </c>
      <c r="N578" s="1" t="s">
        <v>65</v>
      </c>
      <c r="O578">
        <v>3</v>
      </c>
      <c r="P578">
        <v>2</v>
      </c>
      <c r="Q578" t="str">
        <f t="shared" si="41"/>
        <v>KELLI RAMIREZ</v>
      </c>
      <c r="R578" t="str">
        <f t="shared" si="42"/>
        <v>south korea</v>
      </c>
      <c r="S578" t="str">
        <f>PROPER(global_freelancer_raw[[#This Row],[NAME UPPER]])</f>
        <v>Kelli Ramirez</v>
      </c>
      <c r="T578" t="str">
        <f t="shared" si="43"/>
        <v>So</v>
      </c>
      <c r="U578" t="str">
        <f t="shared" ref="U578:U641" si="45">MID(B578,5,6)</f>
        <v>i Rami</v>
      </c>
      <c r="V578" t="str">
        <f t="shared" si="44"/>
        <v>77</v>
      </c>
    </row>
    <row r="579" spans="1:22" x14ac:dyDescent="0.3">
      <c r="A579" s="1" t="s">
        <v>1245</v>
      </c>
      <c r="B579" s="1" t="s">
        <v>1246</v>
      </c>
      <c r="C579" s="1" t="s">
        <v>39</v>
      </c>
      <c r="D579">
        <v>43</v>
      </c>
      <c r="E579" s="1" t="s">
        <v>55</v>
      </c>
      <c r="F579" s="1" t="s">
        <v>56</v>
      </c>
      <c r="G579" s="1" t="s">
        <v>40</v>
      </c>
      <c r="H579">
        <v>20</v>
      </c>
      <c r="I579" t="s">
        <v>118</v>
      </c>
      <c r="J579">
        <v>2.7</v>
      </c>
      <c r="K579" t="b">
        <v>0</v>
      </c>
      <c r="L579">
        <v>0.72</v>
      </c>
      <c r="M579" s="1" t="s">
        <v>20</v>
      </c>
      <c r="N579" s="1" t="s">
        <v>29</v>
      </c>
      <c r="O579">
        <v>14</v>
      </c>
      <c r="P579">
        <v>2</v>
      </c>
      <c r="Q579" t="str">
        <f t="shared" ref="Q579:Q642" si="46">UPPER(B579)</f>
        <v>DEBORAH TORRES</v>
      </c>
      <c r="R579" t="str">
        <f t="shared" ref="R579:R642" si="47">LOWER(E579)</f>
        <v>indonesia</v>
      </c>
      <c r="S579" t="str">
        <f>PROPER(global_freelancer_raw[[#This Row],[NAME UPPER]])</f>
        <v>Deborah Torres</v>
      </c>
      <c r="T579" t="str">
        <f t="shared" ref="T579:T642" si="48">LEFT(E579,"2")</f>
        <v>In</v>
      </c>
      <c r="U579" t="str">
        <f t="shared" si="45"/>
        <v>rah To</v>
      </c>
      <c r="V579" t="str">
        <f t="shared" ref="V579:V642" si="49">RIGHT(A579,"2")</f>
        <v>78</v>
      </c>
    </row>
    <row r="580" spans="1:22" x14ac:dyDescent="0.3">
      <c r="A580" s="1" t="s">
        <v>1247</v>
      </c>
      <c r="B580" s="1" t="s">
        <v>1248</v>
      </c>
      <c r="C580" s="1" t="s">
        <v>68</v>
      </c>
      <c r="D580">
        <v>41</v>
      </c>
      <c r="E580" s="1" t="s">
        <v>144</v>
      </c>
      <c r="F580" s="1" t="s">
        <v>145</v>
      </c>
      <c r="G580" s="1" t="s">
        <v>40</v>
      </c>
      <c r="H580">
        <v>11</v>
      </c>
      <c r="I580" t="s">
        <v>130</v>
      </c>
      <c r="J580">
        <v>4.7</v>
      </c>
      <c r="L580">
        <v>0.69</v>
      </c>
      <c r="M580" s="1" t="s">
        <v>72</v>
      </c>
      <c r="N580" s="1" t="s">
        <v>21</v>
      </c>
      <c r="O580">
        <v>10</v>
      </c>
      <c r="P580">
        <v>4</v>
      </c>
      <c r="Q580" t="str">
        <f t="shared" si="46"/>
        <v>JOSEPH HORN</v>
      </c>
      <c r="R580" t="str">
        <f t="shared" si="47"/>
        <v>france</v>
      </c>
      <c r="S580" t="str">
        <f>PROPER(global_freelancer_raw[[#This Row],[NAME UPPER]])</f>
        <v>Joseph Horn</v>
      </c>
      <c r="T580" t="str">
        <f t="shared" si="48"/>
        <v>Fr</v>
      </c>
      <c r="U580" t="str">
        <f t="shared" si="45"/>
        <v>ph Hor</v>
      </c>
      <c r="V580" t="str">
        <f t="shared" si="49"/>
        <v>79</v>
      </c>
    </row>
    <row r="581" spans="1:22" x14ac:dyDescent="0.3">
      <c r="A581" s="1" t="s">
        <v>1249</v>
      </c>
      <c r="B581" s="1" t="s">
        <v>1250</v>
      </c>
      <c r="C581" s="1" t="s">
        <v>32</v>
      </c>
      <c r="D581">
        <v>41</v>
      </c>
      <c r="E581" s="1" t="s">
        <v>75</v>
      </c>
      <c r="F581" s="1" t="s">
        <v>26</v>
      </c>
      <c r="G581" s="1" t="s">
        <v>98</v>
      </c>
      <c r="H581">
        <v>0</v>
      </c>
      <c r="I581" t="s">
        <v>130</v>
      </c>
      <c r="J581">
        <v>3.1</v>
      </c>
      <c r="K581">
        <v>0</v>
      </c>
      <c r="L581">
        <v>90</v>
      </c>
      <c r="M581" s="1" t="s">
        <v>77</v>
      </c>
      <c r="N581" s="1" t="s">
        <v>21</v>
      </c>
      <c r="O581">
        <v>4</v>
      </c>
      <c r="P581">
        <v>1</v>
      </c>
      <c r="Q581" t="str">
        <f t="shared" si="46"/>
        <v>CHRISTOPHER ROBINSON</v>
      </c>
      <c r="R581" t="str">
        <f t="shared" si="47"/>
        <v>uk</v>
      </c>
      <c r="S581" t="str">
        <f>PROPER(global_freelancer_raw[[#This Row],[NAME UPPER]])</f>
        <v>Christopher Robinson</v>
      </c>
      <c r="T581" t="str">
        <f t="shared" si="48"/>
        <v>UK</v>
      </c>
      <c r="U581" t="str">
        <f t="shared" si="45"/>
        <v>stophe</v>
      </c>
      <c r="V581" t="str">
        <f t="shared" si="49"/>
        <v>80</v>
      </c>
    </row>
    <row r="582" spans="1:22" x14ac:dyDescent="0.3">
      <c r="A582" s="1" t="s">
        <v>1251</v>
      </c>
      <c r="B582" s="1" t="s">
        <v>1252</v>
      </c>
      <c r="C582" s="1" t="s">
        <v>39</v>
      </c>
      <c r="D582">
        <v>40</v>
      </c>
      <c r="E582" s="1" t="s">
        <v>75</v>
      </c>
      <c r="F582" s="1" t="s">
        <v>26</v>
      </c>
      <c r="G582" s="1" t="s">
        <v>27</v>
      </c>
      <c r="H582">
        <v>20</v>
      </c>
      <c r="I582">
        <v>20</v>
      </c>
      <c r="J582">
        <v>2.2999999999999998</v>
      </c>
      <c r="K582">
        <v>0</v>
      </c>
      <c r="L582">
        <v>0.92</v>
      </c>
      <c r="M582" s="1" t="s">
        <v>51</v>
      </c>
      <c r="N582" s="1" t="s">
        <v>36</v>
      </c>
      <c r="O582">
        <v>14</v>
      </c>
      <c r="P582">
        <v>10</v>
      </c>
      <c r="Q582" t="str">
        <f t="shared" si="46"/>
        <v>SANDRA MCCORMICK</v>
      </c>
      <c r="R582" t="str">
        <f t="shared" si="47"/>
        <v>uk</v>
      </c>
      <c r="S582" t="str">
        <f>PROPER(global_freelancer_raw[[#This Row],[NAME UPPER]])</f>
        <v>Sandra Mccormick</v>
      </c>
      <c r="T582" t="str">
        <f t="shared" si="48"/>
        <v>UK</v>
      </c>
      <c r="U582" t="str">
        <f t="shared" si="45"/>
        <v>ra Mcc</v>
      </c>
      <c r="V582" t="str">
        <f t="shared" si="49"/>
        <v>81</v>
      </c>
    </row>
    <row r="583" spans="1:22" x14ac:dyDescent="0.3">
      <c r="A583" s="1" t="s">
        <v>1253</v>
      </c>
      <c r="B583" s="1" t="s">
        <v>1254</v>
      </c>
      <c r="C583" s="1" t="s">
        <v>106</v>
      </c>
      <c r="D583">
        <v>45</v>
      </c>
      <c r="E583" s="1" t="s">
        <v>33</v>
      </c>
      <c r="F583" s="1" t="s">
        <v>33</v>
      </c>
      <c r="G583" s="1" t="s">
        <v>98</v>
      </c>
      <c r="H583">
        <v>3</v>
      </c>
      <c r="I583" t="s">
        <v>323</v>
      </c>
      <c r="J583">
        <v>1.3</v>
      </c>
      <c r="K583" t="s">
        <v>83</v>
      </c>
      <c r="L583">
        <v>0.91</v>
      </c>
      <c r="M583" s="1" t="s">
        <v>77</v>
      </c>
      <c r="N583" s="1" t="s">
        <v>65</v>
      </c>
      <c r="O583">
        <v>5</v>
      </c>
      <c r="P583">
        <v>1</v>
      </c>
      <c r="Q583" t="str">
        <f t="shared" si="46"/>
        <v>MICHAEL HOLLAND</v>
      </c>
      <c r="R583" t="str">
        <f t="shared" si="47"/>
        <v>germany</v>
      </c>
      <c r="S583" t="str">
        <f>PROPER(global_freelancer_raw[[#This Row],[NAME UPPER]])</f>
        <v>Michael Holland</v>
      </c>
      <c r="T583" t="str">
        <f t="shared" si="48"/>
        <v>Ge</v>
      </c>
      <c r="U583" t="str">
        <f t="shared" si="45"/>
        <v>ael Ho</v>
      </c>
      <c r="V583" t="str">
        <f t="shared" si="49"/>
        <v>82</v>
      </c>
    </row>
    <row r="584" spans="1:22" x14ac:dyDescent="0.3">
      <c r="A584" s="1" t="s">
        <v>1255</v>
      </c>
      <c r="B584" s="1" t="s">
        <v>1256</v>
      </c>
      <c r="C584" s="1" t="s">
        <v>68</v>
      </c>
      <c r="D584">
        <v>47</v>
      </c>
      <c r="E584" s="1" t="s">
        <v>148</v>
      </c>
      <c r="F584" s="1" t="s">
        <v>149</v>
      </c>
      <c r="G584" s="1" t="s">
        <v>98</v>
      </c>
      <c r="H584">
        <v>28</v>
      </c>
      <c r="I584" t="s">
        <v>107</v>
      </c>
      <c r="J584">
        <v>2.9</v>
      </c>
      <c r="K584" t="b">
        <v>1</v>
      </c>
      <c r="M584" s="1" t="s">
        <v>51</v>
      </c>
      <c r="N584" s="1" t="s">
        <v>21</v>
      </c>
      <c r="O584">
        <v>18</v>
      </c>
      <c r="P584">
        <v>13</v>
      </c>
      <c r="Q584" t="str">
        <f t="shared" si="46"/>
        <v>KENNETH STEVENSON</v>
      </c>
      <c r="R584" t="str">
        <f t="shared" si="47"/>
        <v>egypt</v>
      </c>
      <c r="S584" t="str">
        <f>PROPER(global_freelancer_raw[[#This Row],[NAME UPPER]])</f>
        <v>Kenneth Stevenson</v>
      </c>
      <c r="T584" t="str">
        <f t="shared" si="48"/>
        <v>Eg</v>
      </c>
      <c r="U584" t="str">
        <f t="shared" si="45"/>
        <v>eth St</v>
      </c>
      <c r="V584" t="str">
        <f t="shared" si="49"/>
        <v>83</v>
      </c>
    </row>
    <row r="585" spans="1:22" x14ac:dyDescent="0.3">
      <c r="A585" s="1" t="s">
        <v>1257</v>
      </c>
      <c r="B585" s="1" t="s">
        <v>1258</v>
      </c>
      <c r="C585" s="1" t="s">
        <v>54</v>
      </c>
      <c r="D585">
        <v>34</v>
      </c>
      <c r="E585" s="1" t="s">
        <v>102</v>
      </c>
      <c r="F585" s="1" t="s">
        <v>103</v>
      </c>
      <c r="G585" s="1" t="s">
        <v>57</v>
      </c>
      <c r="H585">
        <v>0</v>
      </c>
      <c r="I585">
        <v>40</v>
      </c>
      <c r="J585">
        <v>3.3</v>
      </c>
      <c r="K585">
        <v>0</v>
      </c>
      <c r="L585">
        <v>0.98</v>
      </c>
      <c r="M585" s="1" t="s">
        <v>72</v>
      </c>
      <c r="N585" s="1" t="s">
        <v>65</v>
      </c>
      <c r="O585">
        <v>1</v>
      </c>
      <c r="P585">
        <v>3</v>
      </c>
      <c r="Q585" t="str">
        <f t="shared" si="46"/>
        <v>TIMOTHY BENNETT</v>
      </c>
      <c r="R585" t="str">
        <f t="shared" si="47"/>
        <v>india</v>
      </c>
      <c r="S585" t="str">
        <f>PROPER(global_freelancer_raw[[#This Row],[NAME UPPER]])</f>
        <v>Timothy Bennett</v>
      </c>
      <c r="T585" t="str">
        <f t="shared" si="48"/>
        <v>In</v>
      </c>
      <c r="U585" t="str">
        <f t="shared" si="45"/>
        <v>thy Be</v>
      </c>
      <c r="V585" t="str">
        <f t="shared" si="49"/>
        <v>84</v>
      </c>
    </row>
    <row r="586" spans="1:22" x14ac:dyDescent="0.3">
      <c r="A586" s="1" t="s">
        <v>1259</v>
      </c>
      <c r="B586" s="1" t="s">
        <v>1260</v>
      </c>
      <c r="C586" s="1" t="s">
        <v>101</v>
      </c>
      <c r="D586">
        <v>47</v>
      </c>
      <c r="E586" s="1" t="s">
        <v>64</v>
      </c>
      <c r="F586" s="1" t="s">
        <v>26</v>
      </c>
      <c r="G586" s="1" t="s">
        <v>82</v>
      </c>
      <c r="H586">
        <v>4</v>
      </c>
      <c r="I586" t="s">
        <v>323</v>
      </c>
      <c r="J586">
        <v>4.2</v>
      </c>
      <c r="L586">
        <v>0.82</v>
      </c>
      <c r="M586" s="1" t="s">
        <v>20</v>
      </c>
      <c r="N586" s="1" t="s">
        <v>65</v>
      </c>
      <c r="O586">
        <v>5</v>
      </c>
      <c r="P586">
        <v>2</v>
      </c>
      <c r="Q586" t="str">
        <f t="shared" si="46"/>
        <v>GREGORY RANDALL</v>
      </c>
      <c r="R586" t="str">
        <f t="shared" si="47"/>
        <v>us</v>
      </c>
      <c r="S586" t="str">
        <f>PROPER(global_freelancer_raw[[#This Row],[NAME UPPER]])</f>
        <v>Gregory Randall</v>
      </c>
      <c r="T586" t="str">
        <f t="shared" si="48"/>
        <v>US</v>
      </c>
      <c r="U586" t="str">
        <f t="shared" si="45"/>
        <v>ory Ra</v>
      </c>
      <c r="V586" t="str">
        <f t="shared" si="49"/>
        <v>85</v>
      </c>
    </row>
    <row r="587" spans="1:22" x14ac:dyDescent="0.3">
      <c r="A587" s="1" t="s">
        <v>1261</v>
      </c>
      <c r="B587" s="1" t="s">
        <v>1262</v>
      </c>
      <c r="C587" s="1" t="s">
        <v>101</v>
      </c>
      <c r="D587">
        <v>32</v>
      </c>
      <c r="E587" s="1" t="s">
        <v>188</v>
      </c>
      <c r="F587" s="1" t="s">
        <v>81</v>
      </c>
      <c r="G587" s="1" t="s">
        <v>82</v>
      </c>
      <c r="H587">
        <v>9</v>
      </c>
      <c r="I587" t="s">
        <v>61</v>
      </c>
      <c r="J587">
        <v>1.3</v>
      </c>
      <c r="K587" t="b">
        <v>1</v>
      </c>
      <c r="L587">
        <v>0.83</v>
      </c>
      <c r="M587" s="1" t="s">
        <v>20</v>
      </c>
      <c r="N587" s="1" t="s">
        <v>36</v>
      </c>
      <c r="O587">
        <v>10</v>
      </c>
      <c r="P587">
        <v>4</v>
      </c>
      <c r="Q587" t="str">
        <f t="shared" si="46"/>
        <v>CHARLES MARTINEZ</v>
      </c>
      <c r="R587" t="str">
        <f t="shared" si="47"/>
        <v>mexico</v>
      </c>
      <c r="S587" t="str">
        <f>PROPER(global_freelancer_raw[[#This Row],[NAME UPPER]])</f>
        <v>Charles Martinez</v>
      </c>
      <c r="T587" t="str">
        <f t="shared" si="48"/>
        <v>Me</v>
      </c>
      <c r="U587" t="str">
        <f t="shared" si="45"/>
        <v>les Ma</v>
      </c>
      <c r="V587" t="str">
        <f t="shared" si="49"/>
        <v>86</v>
      </c>
    </row>
    <row r="588" spans="1:22" x14ac:dyDescent="0.3">
      <c r="A588" s="1" t="s">
        <v>1263</v>
      </c>
      <c r="B588" s="1" t="s">
        <v>1264</v>
      </c>
      <c r="C588" s="1" t="s">
        <v>101</v>
      </c>
      <c r="D588">
        <v>28</v>
      </c>
      <c r="E588" s="1" t="s">
        <v>75</v>
      </c>
      <c r="F588" s="1" t="s">
        <v>26</v>
      </c>
      <c r="G588" s="1" t="s">
        <v>27</v>
      </c>
      <c r="H588">
        <v>2</v>
      </c>
      <c r="I588" t="s">
        <v>238</v>
      </c>
      <c r="J588">
        <v>4.4000000000000004</v>
      </c>
      <c r="K588" t="b">
        <v>1</v>
      </c>
      <c r="M588" s="1" t="s">
        <v>72</v>
      </c>
      <c r="N588" s="1" t="s">
        <v>21</v>
      </c>
      <c r="O588">
        <v>5</v>
      </c>
      <c r="P588">
        <v>2</v>
      </c>
      <c r="Q588" t="str">
        <f t="shared" si="46"/>
        <v>JAMES HALL</v>
      </c>
      <c r="R588" t="str">
        <f t="shared" si="47"/>
        <v>uk</v>
      </c>
      <c r="S588" t="str">
        <f>PROPER(global_freelancer_raw[[#This Row],[NAME UPPER]])</f>
        <v>James Hall</v>
      </c>
      <c r="T588" t="str">
        <f t="shared" si="48"/>
        <v>UK</v>
      </c>
      <c r="U588" t="str">
        <f t="shared" si="45"/>
        <v>s Hall</v>
      </c>
      <c r="V588" t="str">
        <f t="shared" si="49"/>
        <v>87</v>
      </c>
    </row>
    <row r="589" spans="1:22" x14ac:dyDescent="0.3">
      <c r="A589" s="1" t="s">
        <v>1265</v>
      </c>
      <c r="B589" s="1" t="s">
        <v>1266</v>
      </c>
      <c r="C589" s="1" t="s">
        <v>54</v>
      </c>
      <c r="D589">
        <v>32</v>
      </c>
      <c r="E589" s="1" t="s">
        <v>25</v>
      </c>
      <c r="F589" s="1" t="s">
        <v>26</v>
      </c>
      <c r="G589" s="1" t="s">
        <v>98</v>
      </c>
      <c r="H589">
        <v>1</v>
      </c>
      <c r="I589">
        <v>100</v>
      </c>
      <c r="J589">
        <v>3.4</v>
      </c>
      <c r="K589" t="b">
        <v>1</v>
      </c>
      <c r="M589" s="1" t="s">
        <v>20</v>
      </c>
      <c r="N589" s="1" t="s">
        <v>36</v>
      </c>
      <c r="O589">
        <v>3</v>
      </c>
      <c r="P589">
        <v>1</v>
      </c>
      <c r="Q589" t="str">
        <f t="shared" si="46"/>
        <v>MICHAEL GARCIA</v>
      </c>
      <c r="R589" t="str">
        <f t="shared" si="47"/>
        <v>australia</v>
      </c>
      <c r="S589" t="str">
        <f>PROPER(global_freelancer_raw[[#This Row],[NAME UPPER]])</f>
        <v>Michael Garcia</v>
      </c>
      <c r="T589" t="str">
        <f t="shared" si="48"/>
        <v>Au</v>
      </c>
      <c r="U589" t="str">
        <f t="shared" si="45"/>
        <v>ael Ga</v>
      </c>
      <c r="V589" t="str">
        <f t="shared" si="49"/>
        <v>88</v>
      </c>
    </row>
    <row r="590" spans="1:22" x14ac:dyDescent="0.3">
      <c r="A590" s="1" t="s">
        <v>1267</v>
      </c>
      <c r="B590" s="1" t="s">
        <v>1268</v>
      </c>
      <c r="C590" s="1" t="s">
        <v>39</v>
      </c>
      <c r="D590">
        <v>49</v>
      </c>
      <c r="E590" s="1" t="s">
        <v>47</v>
      </c>
      <c r="F590" s="1" t="s">
        <v>48</v>
      </c>
      <c r="G590" s="1" t="s">
        <v>49</v>
      </c>
      <c r="H590">
        <v>2</v>
      </c>
      <c r="I590" t="s">
        <v>238</v>
      </c>
      <c r="J590">
        <v>3.4</v>
      </c>
      <c r="K590">
        <v>1</v>
      </c>
      <c r="L590">
        <v>0.85</v>
      </c>
      <c r="M590" s="1" t="s">
        <v>20</v>
      </c>
      <c r="N590" s="1" t="s">
        <v>36</v>
      </c>
      <c r="O590">
        <v>5</v>
      </c>
      <c r="P590">
        <v>1</v>
      </c>
      <c r="Q590" t="str">
        <f t="shared" si="46"/>
        <v>MICHELE DURAN</v>
      </c>
      <c r="R590" t="str">
        <f t="shared" si="47"/>
        <v>netherlands</v>
      </c>
      <c r="S590" t="str">
        <f>PROPER(global_freelancer_raw[[#This Row],[NAME UPPER]])</f>
        <v>Michele Duran</v>
      </c>
      <c r="T590" t="str">
        <f t="shared" si="48"/>
        <v>Ne</v>
      </c>
      <c r="U590" t="str">
        <f t="shared" si="45"/>
        <v>ele Du</v>
      </c>
      <c r="V590" t="str">
        <f t="shared" si="49"/>
        <v>89</v>
      </c>
    </row>
    <row r="591" spans="1:22" x14ac:dyDescent="0.3">
      <c r="A591" s="1" t="s">
        <v>1269</v>
      </c>
      <c r="B591" s="1" t="s">
        <v>1270</v>
      </c>
      <c r="C591" s="1" t="s">
        <v>16</v>
      </c>
      <c r="D591">
        <v>36</v>
      </c>
      <c r="E591" s="1" t="s">
        <v>80</v>
      </c>
      <c r="F591" s="1" t="s">
        <v>81</v>
      </c>
      <c r="G591" s="1" t="s">
        <v>27</v>
      </c>
      <c r="H591">
        <v>16</v>
      </c>
      <c r="I591" t="s">
        <v>323</v>
      </c>
      <c r="J591">
        <v>3.2</v>
      </c>
      <c r="M591" s="1" t="s">
        <v>51</v>
      </c>
      <c r="N591" s="1" t="s">
        <v>21</v>
      </c>
      <c r="O591">
        <v>18</v>
      </c>
      <c r="P591">
        <v>2</v>
      </c>
      <c r="Q591" t="str">
        <f t="shared" si="46"/>
        <v>JESSICA GRAY</v>
      </c>
      <c r="R591" t="str">
        <f t="shared" si="47"/>
        <v>argentina</v>
      </c>
      <c r="S591" t="str">
        <f>PROPER(global_freelancer_raw[[#This Row],[NAME UPPER]])</f>
        <v>Jessica Gray</v>
      </c>
      <c r="T591" t="str">
        <f t="shared" si="48"/>
        <v>Ar</v>
      </c>
      <c r="U591" t="str">
        <f t="shared" si="45"/>
        <v>ica Gr</v>
      </c>
      <c r="V591" t="str">
        <f t="shared" si="49"/>
        <v>90</v>
      </c>
    </row>
    <row r="592" spans="1:22" x14ac:dyDescent="0.3">
      <c r="A592" s="1" t="s">
        <v>1271</v>
      </c>
      <c r="B592" s="1" t="s">
        <v>1272</v>
      </c>
      <c r="C592" s="1" t="s">
        <v>101</v>
      </c>
      <c r="D592">
        <v>59</v>
      </c>
      <c r="E592" s="1" t="s">
        <v>188</v>
      </c>
      <c r="F592" s="1" t="s">
        <v>81</v>
      </c>
      <c r="G592" s="1" t="s">
        <v>19</v>
      </c>
      <c r="H592">
        <v>22</v>
      </c>
      <c r="I592" t="s">
        <v>323</v>
      </c>
      <c r="J592">
        <v>3.6</v>
      </c>
      <c r="K592" t="s">
        <v>35</v>
      </c>
      <c r="L592">
        <v>0.63</v>
      </c>
      <c r="M592" s="1" t="s">
        <v>72</v>
      </c>
      <c r="N592" s="1" t="s">
        <v>21</v>
      </c>
      <c r="O592">
        <v>16</v>
      </c>
      <c r="P592">
        <v>6</v>
      </c>
      <c r="Q592" t="str">
        <f t="shared" si="46"/>
        <v>KEITH SHAFFER</v>
      </c>
      <c r="R592" t="str">
        <f t="shared" si="47"/>
        <v>mexico</v>
      </c>
      <c r="S592" t="str">
        <f>PROPER(global_freelancer_raw[[#This Row],[NAME UPPER]])</f>
        <v>Keith Shaffer</v>
      </c>
      <c r="T592" t="str">
        <f t="shared" si="48"/>
        <v>Me</v>
      </c>
      <c r="U592" t="str">
        <f t="shared" si="45"/>
        <v>h Shaf</v>
      </c>
      <c r="V592" t="str">
        <f t="shared" si="49"/>
        <v>91</v>
      </c>
    </row>
    <row r="593" spans="1:22" x14ac:dyDescent="0.3">
      <c r="A593" s="1" t="s">
        <v>1273</v>
      </c>
      <c r="B593" s="1" t="s">
        <v>1274</v>
      </c>
      <c r="C593" s="1" t="s">
        <v>44</v>
      </c>
      <c r="D593">
        <v>52</v>
      </c>
      <c r="E593" s="1" t="s">
        <v>137</v>
      </c>
      <c r="F593" s="1" t="s">
        <v>26</v>
      </c>
      <c r="G593" s="1" t="s">
        <v>87</v>
      </c>
      <c r="H593">
        <v>22</v>
      </c>
      <c r="I593" t="s">
        <v>130</v>
      </c>
      <c r="J593">
        <v>0</v>
      </c>
      <c r="K593">
        <v>0</v>
      </c>
      <c r="M593" s="1" t="s">
        <v>77</v>
      </c>
      <c r="N593" s="1" t="s">
        <v>29</v>
      </c>
      <c r="O593">
        <v>14</v>
      </c>
      <c r="P593">
        <v>10</v>
      </c>
      <c r="Q593" t="str">
        <f t="shared" si="46"/>
        <v>JESSICA DECKER</v>
      </c>
      <c r="R593" t="str">
        <f t="shared" si="47"/>
        <v>canada</v>
      </c>
      <c r="S593" t="str">
        <f>PROPER(global_freelancer_raw[[#This Row],[NAME UPPER]])</f>
        <v>Jessica Decker</v>
      </c>
      <c r="T593" t="str">
        <f t="shared" si="48"/>
        <v>Ca</v>
      </c>
      <c r="U593" t="str">
        <f t="shared" si="45"/>
        <v>ica De</v>
      </c>
      <c r="V593" t="str">
        <f t="shared" si="49"/>
        <v>92</v>
      </c>
    </row>
    <row r="594" spans="1:22" x14ac:dyDescent="0.3">
      <c r="A594" s="1" t="s">
        <v>1275</v>
      </c>
      <c r="B594" s="1" t="s">
        <v>1276</v>
      </c>
      <c r="C594" s="1" t="s">
        <v>44</v>
      </c>
      <c r="D594">
        <v>24</v>
      </c>
      <c r="E594" s="1" t="s">
        <v>184</v>
      </c>
      <c r="F594" s="1" t="s">
        <v>185</v>
      </c>
      <c r="G594" s="1" t="s">
        <v>19</v>
      </c>
      <c r="H594">
        <v>5</v>
      </c>
      <c r="I594">
        <v>40</v>
      </c>
      <c r="J594">
        <v>1.8</v>
      </c>
      <c r="K594">
        <v>1</v>
      </c>
      <c r="L594">
        <v>0.86</v>
      </c>
      <c r="M594" s="1" t="s">
        <v>51</v>
      </c>
      <c r="N594" s="1" t="s">
        <v>29</v>
      </c>
      <c r="O594">
        <v>4</v>
      </c>
      <c r="P594">
        <v>2</v>
      </c>
      <c r="Q594" t="str">
        <f t="shared" si="46"/>
        <v>BRIANNA PITTMAN</v>
      </c>
      <c r="R594" t="str">
        <f t="shared" si="47"/>
        <v>china</v>
      </c>
      <c r="S594" t="str">
        <f>PROPER(global_freelancer_raw[[#This Row],[NAME UPPER]])</f>
        <v>Brianna Pittman</v>
      </c>
      <c r="T594" t="str">
        <f t="shared" si="48"/>
        <v>Ch</v>
      </c>
      <c r="U594" t="str">
        <f t="shared" si="45"/>
        <v>nna Pi</v>
      </c>
      <c r="V594" t="str">
        <f t="shared" si="49"/>
        <v>93</v>
      </c>
    </row>
    <row r="595" spans="1:22" x14ac:dyDescent="0.3">
      <c r="A595" s="1" t="s">
        <v>1277</v>
      </c>
      <c r="B595" s="1" t="s">
        <v>1278</v>
      </c>
      <c r="C595" s="1" t="s">
        <v>24</v>
      </c>
      <c r="D595">
        <v>26</v>
      </c>
      <c r="E595" s="1" t="s">
        <v>25</v>
      </c>
      <c r="F595" s="1" t="s">
        <v>26</v>
      </c>
      <c r="G595" s="1" t="s">
        <v>34</v>
      </c>
      <c r="H595">
        <v>2</v>
      </c>
      <c r="I595" t="s">
        <v>58</v>
      </c>
      <c r="J595">
        <v>2.5</v>
      </c>
      <c r="K595" t="s">
        <v>76</v>
      </c>
      <c r="L595">
        <v>60</v>
      </c>
      <c r="M595" s="1" t="s">
        <v>72</v>
      </c>
      <c r="N595" s="1" t="s">
        <v>65</v>
      </c>
      <c r="O595">
        <v>5</v>
      </c>
      <c r="P595">
        <v>1</v>
      </c>
      <c r="Q595" t="str">
        <f t="shared" si="46"/>
        <v>KIMBERLY HUNTER</v>
      </c>
      <c r="R595" t="str">
        <f t="shared" si="47"/>
        <v>australia</v>
      </c>
      <c r="S595" t="str">
        <f>PROPER(global_freelancer_raw[[#This Row],[NAME UPPER]])</f>
        <v>Kimberly Hunter</v>
      </c>
      <c r="T595" t="str">
        <f t="shared" si="48"/>
        <v>Au</v>
      </c>
      <c r="U595" t="str">
        <f t="shared" si="45"/>
        <v>erly H</v>
      </c>
      <c r="V595" t="str">
        <f t="shared" si="49"/>
        <v>94</v>
      </c>
    </row>
    <row r="596" spans="1:22" x14ac:dyDescent="0.3">
      <c r="A596" s="1" t="s">
        <v>1279</v>
      </c>
      <c r="B596" s="1" t="s">
        <v>1280</v>
      </c>
      <c r="C596" s="1" t="s">
        <v>101</v>
      </c>
      <c r="D596">
        <v>55</v>
      </c>
      <c r="E596" s="1" t="s">
        <v>137</v>
      </c>
      <c r="F596" s="1" t="s">
        <v>26</v>
      </c>
      <c r="G596" s="1" t="s">
        <v>87</v>
      </c>
      <c r="H596">
        <v>24</v>
      </c>
      <c r="I596">
        <v>40</v>
      </c>
      <c r="J596">
        <v>2</v>
      </c>
      <c r="K596">
        <v>1</v>
      </c>
      <c r="L596">
        <v>88</v>
      </c>
      <c r="M596" s="1" t="s">
        <v>51</v>
      </c>
      <c r="N596" s="1" t="s">
        <v>21</v>
      </c>
      <c r="O596">
        <v>15</v>
      </c>
      <c r="P596">
        <v>3</v>
      </c>
      <c r="Q596" t="str">
        <f t="shared" si="46"/>
        <v>DANIEL MARTIN</v>
      </c>
      <c r="R596" t="str">
        <f t="shared" si="47"/>
        <v>canada</v>
      </c>
      <c r="S596" t="str">
        <f>PROPER(global_freelancer_raw[[#This Row],[NAME UPPER]])</f>
        <v>Daniel Martin</v>
      </c>
      <c r="T596" t="str">
        <f t="shared" si="48"/>
        <v>Ca</v>
      </c>
      <c r="U596" t="str">
        <f t="shared" si="45"/>
        <v>el Mar</v>
      </c>
      <c r="V596" t="str">
        <f t="shared" si="49"/>
        <v>95</v>
      </c>
    </row>
    <row r="597" spans="1:22" x14ac:dyDescent="0.3">
      <c r="A597" s="1" t="s">
        <v>1281</v>
      </c>
      <c r="B597" s="1" t="s">
        <v>1282</v>
      </c>
      <c r="C597" s="1" t="s">
        <v>24</v>
      </c>
      <c r="D597">
        <v>56</v>
      </c>
      <c r="E597" s="1" t="s">
        <v>17</v>
      </c>
      <c r="F597" s="1" t="s">
        <v>18</v>
      </c>
      <c r="G597" s="1" t="s">
        <v>27</v>
      </c>
      <c r="H597">
        <v>37</v>
      </c>
      <c r="I597">
        <v>40</v>
      </c>
      <c r="J597">
        <v>0</v>
      </c>
      <c r="K597" t="s">
        <v>35</v>
      </c>
      <c r="L597">
        <v>0.7</v>
      </c>
      <c r="M597" s="1" t="s">
        <v>77</v>
      </c>
      <c r="N597" s="1" t="s">
        <v>29</v>
      </c>
      <c r="O597">
        <v>11</v>
      </c>
      <c r="P597">
        <v>9</v>
      </c>
      <c r="Q597" t="str">
        <f t="shared" si="46"/>
        <v>RACHEL SMITH</v>
      </c>
      <c r="R597" t="str">
        <f t="shared" si="47"/>
        <v>italy</v>
      </c>
      <c r="S597" t="str">
        <f>PROPER(global_freelancer_raw[[#This Row],[NAME UPPER]])</f>
        <v>Rachel Smith</v>
      </c>
      <c r="T597" t="str">
        <f t="shared" si="48"/>
        <v>It</v>
      </c>
      <c r="U597" t="str">
        <f t="shared" si="45"/>
        <v>el Smi</v>
      </c>
      <c r="V597" t="str">
        <f t="shared" si="49"/>
        <v>96</v>
      </c>
    </row>
    <row r="598" spans="1:22" x14ac:dyDescent="0.3">
      <c r="A598" s="1" t="s">
        <v>1283</v>
      </c>
      <c r="B598" s="1" t="s">
        <v>1284</v>
      </c>
      <c r="C598" s="1" t="s">
        <v>54</v>
      </c>
      <c r="D598">
        <v>36</v>
      </c>
      <c r="E598" s="1" t="s">
        <v>144</v>
      </c>
      <c r="F598" s="1" t="s">
        <v>145</v>
      </c>
      <c r="G598" s="1" t="s">
        <v>34</v>
      </c>
      <c r="H598">
        <v>3</v>
      </c>
      <c r="I598" t="s">
        <v>107</v>
      </c>
      <c r="J598">
        <v>1.3</v>
      </c>
      <c r="K598">
        <v>1</v>
      </c>
      <c r="L598">
        <v>0.77</v>
      </c>
      <c r="M598" s="1" t="s">
        <v>77</v>
      </c>
      <c r="N598" s="1" t="s">
        <v>65</v>
      </c>
      <c r="O598">
        <v>2</v>
      </c>
      <c r="P598">
        <v>4</v>
      </c>
      <c r="Q598" t="str">
        <f t="shared" si="46"/>
        <v>MICHAEL MILLER</v>
      </c>
      <c r="R598" t="str">
        <f t="shared" si="47"/>
        <v>france</v>
      </c>
      <c r="S598" t="str">
        <f>PROPER(global_freelancer_raw[[#This Row],[NAME UPPER]])</f>
        <v>Michael Miller</v>
      </c>
      <c r="T598" t="str">
        <f t="shared" si="48"/>
        <v>Fr</v>
      </c>
      <c r="U598" t="str">
        <f t="shared" si="45"/>
        <v>ael Mi</v>
      </c>
      <c r="V598" t="str">
        <f t="shared" si="49"/>
        <v>97</v>
      </c>
    </row>
    <row r="599" spans="1:22" x14ac:dyDescent="0.3">
      <c r="A599" s="1" t="s">
        <v>1285</v>
      </c>
      <c r="B599" s="1" t="s">
        <v>1286</v>
      </c>
      <c r="C599" s="1" t="s">
        <v>101</v>
      </c>
      <c r="D599">
        <v>48</v>
      </c>
      <c r="E599" s="1" t="s">
        <v>80</v>
      </c>
      <c r="F599" s="1" t="s">
        <v>81</v>
      </c>
      <c r="G599" s="1" t="s">
        <v>40</v>
      </c>
      <c r="H599">
        <v>18</v>
      </c>
      <c r="I599">
        <v>75</v>
      </c>
      <c r="J599">
        <v>0</v>
      </c>
      <c r="K599">
        <v>0</v>
      </c>
      <c r="L599">
        <v>0.8</v>
      </c>
      <c r="M599" s="1" t="s">
        <v>72</v>
      </c>
      <c r="N599" s="1" t="s">
        <v>65</v>
      </c>
      <c r="O599">
        <v>20</v>
      </c>
      <c r="P599">
        <v>5</v>
      </c>
      <c r="Q599" t="str">
        <f t="shared" si="46"/>
        <v>WILLIE CLARK</v>
      </c>
      <c r="R599" t="str">
        <f t="shared" si="47"/>
        <v>argentina</v>
      </c>
      <c r="S599" t="str">
        <f>PROPER(global_freelancer_raw[[#This Row],[NAME UPPER]])</f>
        <v>Willie Clark</v>
      </c>
      <c r="T599" t="str">
        <f t="shared" si="48"/>
        <v>Ar</v>
      </c>
      <c r="U599" t="str">
        <f t="shared" si="45"/>
        <v>ie Cla</v>
      </c>
      <c r="V599" t="str">
        <f t="shared" si="49"/>
        <v>98</v>
      </c>
    </row>
    <row r="600" spans="1:22" x14ac:dyDescent="0.3">
      <c r="A600" s="1" t="s">
        <v>1287</v>
      </c>
      <c r="B600" s="1" t="s">
        <v>1288</v>
      </c>
      <c r="C600" s="1" t="s">
        <v>106</v>
      </c>
      <c r="D600">
        <v>55</v>
      </c>
      <c r="E600" s="1" t="s">
        <v>148</v>
      </c>
      <c r="F600" s="1" t="s">
        <v>149</v>
      </c>
      <c r="G600" s="1" t="s">
        <v>123</v>
      </c>
      <c r="H600">
        <v>6</v>
      </c>
      <c r="I600" t="s">
        <v>41</v>
      </c>
      <c r="J600">
        <v>3.6</v>
      </c>
      <c r="K600" t="s">
        <v>83</v>
      </c>
      <c r="M600" s="1" t="s">
        <v>77</v>
      </c>
      <c r="N600" s="1" t="s">
        <v>65</v>
      </c>
      <c r="O600">
        <v>13</v>
      </c>
      <c r="P600">
        <v>3</v>
      </c>
      <c r="Q600" t="str">
        <f t="shared" si="46"/>
        <v>JEREMY HERNANDEZ</v>
      </c>
      <c r="R600" t="str">
        <f t="shared" si="47"/>
        <v>egypt</v>
      </c>
      <c r="S600" t="str">
        <f>PROPER(global_freelancer_raw[[#This Row],[NAME UPPER]])</f>
        <v>Jeremy Hernandez</v>
      </c>
      <c r="T600" t="str">
        <f t="shared" si="48"/>
        <v>Eg</v>
      </c>
      <c r="U600" t="str">
        <f t="shared" si="45"/>
        <v>my Her</v>
      </c>
      <c r="V600" t="str">
        <f t="shared" si="49"/>
        <v>99</v>
      </c>
    </row>
    <row r="601" spans="1:22" x14ac:dyDescent="0.3">
      <c r="A601" s="1" t="s">
        <v>1289</v>
      </c>
      <c r="B601" s="1" t="s">
        <v>1290</v>
      </c>
      <c r="C601" s="1" t="s">
        <v>44</v>
      </c>
      <c r="D601">
        <v>56</v>
      </c>
      <c r="E601" s="1" t="s">
        <v>199</v>
      </c>
      <c r="F601" s="1" t="s">
        <v>81</v>
      </c>
      <c r="G601" s="1" t="s">
        <v>98</v>
      </c>
      <c r="H601">
        <v>17</v>
      </c>
      <c r="J601">
        <v>1.3</v>
      </c>
      <c r="L601">
        <v>0.87</v>
      </c>
      <c r="M601" s="1" t="s">
        <v>51</v>
      </c>
      <c r="N601" s="1" t="s">
        <v>29</v>
      </c>
      <c r="O601">
        <v>12</v>
      </c>
      <c r="P601">
        <v>5</v>
      </c>
      <c r="Q601" t="str">
        <f t="shared" si="46"/>
        <v>TINA SHELTON</v>
      </c>
      <c r="R601" t="str">
        <f t="shared" si="47"/>
        <v>spain</v>
      </c>
      <c r="S601" t="str">
        <f>PROPER(global_freelancer_raw[[#This Row],[NAME UPPER]])</f>
        <v>Tina Shelton</v>
      </c>
      <c r="T601" t="str">
        <f t="shared" si="48"/>
        <v>Sp</v>
      </c>
      <c r="U601" t="str">
        <f t="shared" si="45"/>
        <v xml:space="preserve"> Shelt</v>
      </c>
      <c r="V601" t="str">
        <f t="shared" si="49"/>
        <v>00</v>
      </c>
    </row>
    <row r="602" spans="1:22" x14ac:dyDescent="0.3">
      <c r="A602" s="1" t="s">
        <v>1291</v>
      </c>
      <c r="B602" s="1" t="s">
        <v>1292</v>
      </c>
      <c r="C602" s="1" t="s">
        <v>86</v>
      </c>
      <c r="D602">
        <v>28</v>
      </c>
      <c r="E602" s="1" t="s">
        <v>137</v>
      </c>
      <c r="F602" s="1" t="s">
        <v>26</v>
      </c>
      <c r="G602" s="1" t="s">
        <v>19</v>
      </c>
      <c r="H602">
        <v>1</v>
      </c>
      <c r="I602">
        <v>75</v>
      </c>
      <c r="J602">
        <v>2.7</v>
      </c>
      <c r="K602" t="b">
        <v>1</v>
      </c>
      <c r="L602">
        <v>0.93</v>
      </c>
      <c r="M602" s="1" t="s">
        <v>77</v>
      </c>
      <c r="N602" s="1" t="s">
        <v>21</v>
      </c>
      <c r="O602">
        <v>1</v>
      </c>
      <c r="P602">
        <v>2</v>
      </c>
      <c r="Q602" t="str">
        <f t="shared" si="46"/>
        <v>DR. PAMELA LARSON</v>
      </c>
      <c r="R602" t="str">
        <f t="shared" si="47"/>
        <v>canada</v>
      </c>
      <c r="S602" t="str">
        <f>PROPER(global_freelancer_raw[[#This Row],[NAME UPPER]])</f>
        <v>Dr. Pamela Larson</v>
      </c>
      <c r="T602" t="str">
        <f t="shared" si="48"/>
        <v>Ca</v>
      </c>
      <c r="U602" t="str">
        <f t="shared" si="45"/>
        <v>Pamela</v>
      </c>
      <c r="V602" t="str">
        <f t="shared" si="49"/>
        <v>01</v>
      </c>
    </row>
    <row r="603" spans="1:22" x14ac:dyDescent="0.3">
      <c r="A603" s="1" t="s">
        <v>1293</v>
      </c>
      <c r="B603" s="1" t="s">
        <v>1294</v>
      </c>
      <c r="C603" s="1" t="s">
        <v>32</v>
      </c>
      <c r="D603">
        <v>60</v>
      </c>
      <c r="E603" s="1" t="s">
        <v>64</v>
      </c>
      <c r="F603" s="1" t="s">
        <v>26</v>
      </c>
      <c r="G603" s="1" t="s">
        <v>49</v>
      </c>
      <c r="H603">
        <v>39</v>
      </c>
      <c r="I603" t="s">
        <v>28</v>
      </c>
      <c r="J603">
        <v>1.5</v>
      </c>
      <c r="L603">
        <v>88</v>
      </c>
      <c r="M603" s="1" t="s">
        <v>51</v>
      </c>
      <c r="N603" s="1" t="s">
        <v>36</v>
      </c>
      <c r="O603">
        <v>19</v>
      </c>
      <c r="P603">
        <v>4</v>
      </c>
      <c r="Q603" t="str">
        <f t="shared" si="46"/>
        <v>RYAN EWING</v>
      </c>
      <c r="R603" t="str">
        <f t="shared" si="47"/>
        <v>us</v>
      </c>
      <c r="S603" t="str">
        <f>PROPER(global_freelancer_raw[[#This Row],[NAME UPPER]])</f>
        <v>Ryan Ewing</v>
      </c>
      <c r="T603" t="str">
        <f t="shared" si="48"/>
        <v>US</v>
      </c>
      <c r="U603" t="str">
        <f t="shared" si="45"/>
        <v xml:space="preserve"> Ewing</v>
      </c>
      <c r="V603" t="str">
        <f t="shared" si="49"/>
        <v>02</v>
      </c>
    </row>
    <row r="604" spans="1:22" x14ac:dyDescent="0.3">
      <c r="A604" s="1" t="s">
        <v>1295</v>
      </c>
      <c r="B604" s="1" t="s">
        <v>1296</v>
      </c>
      <c r="C604" s="1" t="s">
        <v>32</v>
      </c>
      <c r="D604">
        <v>34</v>
      </c>
      <c r="E604" s="1" t="s">
        <v>121</v>
      </c>
      <c r="F604" s="1" t="s">
        <v>122</v>
      </c>
      <c r="G604" s="1" t="s">
        <v>19</v>
      </c>
      <c r="H604">
        <v>15</v>
      </c>
      <c r="I604">
        <v>20</v>
      </c>
      <c r="J604">
        <v>0</v>
      </c>
      <c r="K604">
        <v>0</v>
      </c>
      <c r="L604">
        <v>1</v>
      </c>
      <c r="M604" s="1" t="s">
        <v>51</v>
      </c>
      <c r="N604" s="1" t="s">
        <v>65</v>
      </c>
      <c r="O604">
        <v>13</v>
      </c>
      <c r="P604">
        <v>3</v>
      </c>
      <c r="Q604" t="str">
        <f t="shared" si="46"/>
        <v>MARK COCHRAN</v>
      </c>
      <c r="R604" t="str">
        <f t="shared" si="47"/>
        <v>south korea</v>
      </c>
      <c r="S604" t="str">
        <f>PROPER(global_freelancer_raw[[#This Row],[NAME UPPER]])</f>
        <v>Mark Cochran</v>
      </c>
      <c r="T604" t="str">
        <f t="shared" si="48"/>
        <v>So</v>
      </c>
      <c r="U604" t="str">
        <f t="shared" si="45"/>
        <v xml:space="preserve"> Cochr</v>
      </c>
      <c r="V604" t="str">
        <f t="shared" si="49"/>
        <v>03</v>
      </c>
    </row>
    <row r="605" spans="1:22" x14ac:dyDescent="0.3">
      <c r="A605" s="1" t="s">
        <v>1297</v>
      </c>
      <c r="B605" s="1" t="s">
        <v>1298</v>
      </c>
      <c r="C605" s="1" t="s">
        <v>44</v>
      </c>
      <c r="D605">
        <v>38</v>
      </c>
      <c r="E605" s="1" t="s">
        <v>55</v>
      </c>
      <c r="F605" s="1" t="s">
        <v>56</v>
      </c>
      <c r="G605" s="1" t="s">
        <v>49</v>
      </c>
      <c r="H605">
        <v>13</v>
      </c>
      <c r="I605" t="s">
        <v>41</v>
      </c>
      <c r="J605">
        <v>0</v>
      </c>
      <c r="K605">
        <v>1</v>
      </c>
      <c r="L605">
        <v>61</v>
      </c>
      <c r="M605" s="1" t="s">
        <v>77</v>
      </c>
      <c r="N605" s="1" t="s">
        <v>29</v>
      </c>
      <c r="O605">
        <v>13</v>
      </c>
      <c r="P605">
        <v>2</v>
      </c>
      <c r="Q605" t="str">
        <f t="shared" si="46"/>
        <v>MARTHA CARSON</v>
      </c>
      <c r="R605" t="str">
        <f t="shared" si="47"/>
        <v>indonesia</v>
      </c>
      <c r="S605" t="str">
        <f>PROPER(global_freelancer_raw[[#This Row],[NAME UPPER]])</f>
        <v>Martha Carson</v>
      </c>
      <c r="T605" t="str">
        <f t="shared" si="48"/>
        <v>In</v>
      </c>
      <c r="U605" t="str">
        <f t="shared" si="45"/>
        <v>ha Car</v>
      </c>
      <c r="V605" t="str">
        <f t="shared" si="49"/>
        <v>04</v>
      </c>
    </row>
    <row r="606" spans="1:22" x14ac:dyDescent="0.3">
      <c r="A606" s="1" t="s">
        <v>1299</v>
      </c>
      <c r="B606" s="1" t="s">
        <v>1300</v>
      </c>
      <c r="C606" s="1" t="s">
        <v>24</v>
      </c>
      <c r="D606">
        <v>51</v>
      </c>
      <c r="E606" s="1" t="s">
        <v>121</v>
      </c>
      <c r="F606" s="1" t="s">
        <v>122</v>
      </c>
      <c r="G606" s="1" t="s">
        <v>40</v>
      </c>
      <c r="H606">
        <v>17</v>
      </c>
      <c r="I606">
        <v>100</v>
      </c>
      <c r="J606">
        <v>3</v>
      </c>
      <c r="K606" t="b">
        <v>0</v>
      </c>
      <c r="L606">
        <v>0.79</v>
      </c>
      <c r="M606" s="1" t="s">
        <v>72</v>
      </c>
      <c r="N606" s="1" t="s">
        <v>29</v>
      </c>
      <c r="O606">
        <v>13</v>
      </c>
      <c r="P606">
        <v>1</v>
      </c>
      <c r="Q606" t="str">
        <f t="shared" si="46"/>
        <v>HEATHER JACKSON</v>
      </c>
      <c r="R606" t="str">
        <f t="shared" si="47"/>
        <v>south korea</v>
      </c>
      <c r="S606" t="str">
        <f>PROPER(global_freelancer_raw[[#This Row],[NAME UPPER]])</f>
        <v>Heather Jackson</v>
      </c>
      <c r="T606" t="str">
        <f t="shared" si="48"/>
        <v>So</v>
      </c>
      <c r="U606" t="str">
        <f t="shared" si="45"/>
        <v>her Ja</v>
      </c>
      <c r="V606" t="str">
        <f t="shared" si="49"/>
        <v>05</v>
      </c>
    </row>
    <row r="607" spans="1:22" x14ac:dyDescent="0.3">
      <c r="A607" s="1" t="s">
        <v>1301</v>
      </c>
      <c r="B607" s="1" t="s">
        <v>1302</v>
      </c>
      <c r="C607" s="1" t="s">
        <v>16</v>
      </c>
      <c r="D607">
        <v>21</v>
      </c>
      <c r="E607" s="1" t="s">
        <v>94</v>
      </c>
      <c r="F607" s="1" t="s">
        <v>95</v>
      </c>
      <c r="G607" s="1" t="s">
        <v>27</v>
      </c>
      <c r="H607">
        <v>1</v>
      </c>
      <c r="I607">
        <v>30</v>
      </c>
      <c r="J607">
        <v>1.2</v>
      </c>
      <c r="L607">
        <v>0.73</v>
      </c>
      <c r="M607" s="1" t="s">
        <v>20</v>
      </c>
      <c r="N607" s="1" t="s">
        <v>36</v>
      </c>
      <c r="O607">
        <v>1</v>
      </c>
      <c r="P607">
        <v>1</v>
      </c>
      <c r="Q607" t="str">
        <f t="shared" si="46"/>
        <v>MEGAN YOUNG</v>
      </c>
      <c r="R607" t="str">
        <f t="shared" si="47"/>
        <v>japan</v>
      </c>
      <c r="S607" t="str">
        <f>PROPER(global_freelancer_raw[[#This Row],[NAME UPPER]])</f>
        <v>Megan Young</v>
      </c>
      <c r="T607" t="str">
        <f t="shared" si="48"/>
        <v>Ja</v>
      </c>
      <c r="U607" t="str">
        <f t="shared" si="45"/>
        <v>n Youn</v>
      </c>
      <c r="V607" t="str">
        <f t="shared" si="49"/>
        <v>06</v>
      </c>
    </row>
    <row r="608" spans="1:22" x14ac:dyDescent="0.3">
      <c r="A608" s="1" t="s">
        <v>1303</v>
      </c>
      <c r="B608" s="1" t="s">
        <v>1304</v>
      </c>
      <c r="C608" s="1" t="s">
        <v>101</v>
      </c>
      <c r="D608">
        <v>35</v>
      </c>
      <c r="E608" s="1" t="s">
        <v>17</v>
      </c>
      <c r="F608" s="1" t="s">
        <v>18</v>
      </c>
      <c r="G608" s="1" t="s">
        <v>82</v>
      </c>
      <c r="H608">
        <v>16</v>
      </c>
      <c r="J608">
        <v>1.3</v>
      </c>
      <c r="K608">
        <v>1</v>
      </c>
      <c r="L608">
        <v>0.64</v>
      </c>
      <c r="M608" s="1" t="s">
        <v>77</v>
      </c>
      <c r="N608" s="1" t="s">
        <v>36</v>
      </c>
      <c r="O608">
        <v>12</v>
      </c>
      <c r="P608">
        <v>18</v>
      </c>
      <c r="Q608" t="str">
        <f t="shared" si="46"/>
        <v>THOMAS DAVIS</v>
      </c>
      <c r="R608" t="str">
        <f t="shared" si="47"/>
        <v>italy</v>
      </c>
      <c r="S608" t="str">
        <f>PROPER(global_freelancer_raw[[#This Row],[NAME UPPER]])</f>
        <v>Thomas Davis</v>
      </c>
      <c r="T608" t="str">
        <f t="shared" si="48"/>
        <v>It</v>
      </c>
      <c r="U608" t="str">
        <f t="shared" si="45"/>
        <v>as Dav</v>
      </c>
      <c r="V608" t="str">
        <f t="shared" si="49"/>
        <v>07</v>
      </c>
    </row>
    <row r="609" spans="1:22" x14ac:dyDescent="0.3">
      <c r="A609" s="1" t="s">
        <v>1305</v>
      </c>
      <c r="B609" s="1" t="s">
        <v>1306</v>
      </c>
      <c r="C609" s="1" t="s">
        <v>101</v>
      </c>
      <c r="D609">
        <v>27</v>
      </c>
      <c r="E609" s="1" t="s">
        <v>116</v>
      </c>
      <c r="F609" s="1" t="s">
        <v>117</v>
      </c>
      <c r="G609" s="1" t="s">
        <v>40</v>
      </c>
      <c r="H609">
        <v>9</v>
      </c>
      <c r="I609" t="s">
        <v>238</v>
      </c>
      <c r="K609" t="b">
        <v>1</v>
      </c>
      <c r="M609" s="1" t="s">
        <v>51</v>
      </c>
      <c r="N609" s="1" t="s">
        <v>29</v>
      </c>
      <c r="O609">
        <v>13</v>
      </c>
      <c r="P609">
        <v>6</v>
      </c>
      <c r="Q609" t="str">
        <f t="shared" si="46"/>
        <v>THOMAS MOONEY</v>
      </c>
      <c r="R609" t="str">
        <f t="shared" si="47"/>
        <v>brazil</v>
      </c>
      <c r="S609" t="str">
        <f>PROPER(global_freelancer_raw[[#This Row],[NAME UPPER]])</f>
        <v>Thomas Mooney</v>
      </c>
      <c r="T609" t="str">
        <f t="shared" si="48"/>
        <v>Br</v>
      </c>
      <c r="U609" t="str">
        <f t="shared" si="45"/>
        <v>as Moo</v>
      </c>
      <c r="V609" t="str">
        <f t="shared" si="49"/>
        <v>08</v>
      </c>
    </row>
    <row r="610" spans="1:22" x14ac:dyDescent="0.3">
      <c r="A610" s="1" t="s">
        <v>1307</v>
      </c>
      <c r="B610" s="1" t="s">
        <v>1308</v>
      </c>
      <c r="C610" s="1" t="s">
        <v>24</v>
      </c>
      <c r="D610">
        <v>42</v>
      </c>
      <c r="E610" s="1" t="s">
        <v>69</v>
      </c>
      <c r="F610" s="1" t="s">
        <v>70</v>
      </c>
      <c r="G610" s="1" t="s">
        <v>27</v>
      </c>
      <c r="H610">
        <v>20</v>
      </c>
      <c r="I610" t="s">
        <v>107</v>
      </c>
      <c r="J610">
        <v>3.8</v>
      </c>
      <c r="K610" t="s">
        <v>35</v>
      </c>
      <c r="L610">
        <v>0.93</v>
      </c>
      <c r="M610" s="1" t="s">
        <v>51</v>
      </c>
      <c r="N610" s="1" t="s">
        <v>21</v>
      </c>
      <c r="O610">
        <v>10</v>
      </c>
      <c r="P610">
        <v>14</v>
      </c>
      <c r="Q610" t="str">
        <f t="shared" si="46"/>
        <v>SUSAN SMITH</v>
      </c>
      <c r="R610" t="str">
        <f t="shared" si="47"/>
        <v>turkey</v>
      </c>
      <c r="S610" t="str">
        <f>PROPER(global_freelancer_raw[[#This Row],[NAME UPPER]])</f>
        <v>Susan Smith</v>
      </c>
      <c r="T610" t="str">
        <f t="shared" si="48"/>
        <v>Tu</v>
      </c>
      <c r="U610" t="str">
        <f t="shared" si="45"/>
        <v>n Smit</v>
      </c>
      <c r="V610" t="str">
        <f t="shared" si="49"/>
        <v>09</v>
      </c>
    </row>
    <row r="611" spans="1:22" x14ac:dyDescent="0.3">
      <c r="A611" s="1" t="s">
        <v>1309</v>
      </c>
      <c r="B611" s="1" t="s">
        <v>1310</v>
      </c>
      <c r="C611" s="1" t="s">
        <v>39</v>
      </c>
      <c r="D611">
        <v>52</v>
      </c>
      <c r="E611" s="1" t="s">
        <v>137</v>
      </c>
      <c r="F611" s="1" t="s">
        <v>26</v>
      </c>
      <c r="G611" s="1" t="s">
        <v>19</v>
      </c>
      <c r="H611">
        <v>29</v>
      </c>
      <c r="I611">
        <v>30</v>
      </c>
      <c r="J611">
        <v>3.8</v>
      </c>
      <c r="K611">
        <v>0</v>
      </c>
      <c r="L611">
        <v>0.68</v>
      </c>
      <c r="M611" s="1" t="s">
        <v>77</v>
      </c>
      <c r="N611" s="1" t="s">
        <v>36</v>
      </c>
      <c r="O611">
        <v>14</v>
      </c>
      <c r="P611">
        <v>7</v>
      </c>
      <c r="Q611" t="str">
        <f t="shared" si="46"/>
        <v>BRIANNA ORR</v>
      </c>
      <c r="R611" t="str">
        <f t="shared" si="47"/>
        <v>canada</v>
      </c>
      <c r="S611" t="str">
        <f>PROPER(global_freelancer_raw[[#This Row],[NAME UPPER]])</f>
        <v>Brianna Orr</v>
      </c>
      <c r="T611" t="str">
        <f t="shared" si="48"/>
        <v>Ca</v>
      </c>
      <c r="U611" t="str">
        <f t="shared" si="45"/>
        <v>nna Or</v>
      </c>
      <c r="V611" t="str">
        <f t="shared" si="49"/>
        <v>10</v>
      </c>
    </row>
    <row r="612" spans="1:22" x14ac:dyDescent="0.3">
      <c r="A612" s="1" t="s">
        <v>1311</v>
      </c>
      <c r="B612" s="1" t="s">
        <v>1312</v>
      </c>
      <c r="C612" s="1" t="s">
        <v>32</v>
      </c>
      <c r="D612">
        <v>53</v>
      </c>
      <c r="E612" s="1" t="s">
        <v>121</v>
      </c>
      <c r="F612" s="1" t="s">
        <v>122</v>
      </c>
      <c r="G612" s="1" t="s">
        <v>40</v>
      </c>
      <c r="H612">
        <v>21</v>
      </c>
      <c r="I612">
        <v>40</v>
      </c>
      <c r="J612">
        <v>4.7</v>
      </c>
      <c r="K612">
        <v>1</v>
      </c>
      <c r="L612">
        <v>0.62</v>
      </c>
      <c r="M612" s="1" t="s">
        <v>72</v>
      </c>
      <c r="N612" s="1" t="s">
        <v>29</v>
      </c>
      <c r="O612">
        <v>19</v>
      </c>
      <c r="P612">
        <v>15</v>
      </c>
      <c r="Q612" t="str">
        <f t="shared" si="46"/>
        <v>DUSTIN SMITH</v>
      </c>
      <c r="R612" t="str">
        <f t="shared" si="47"/>
        <v>south korea</v>
      </c>
      <c r="S612" t="str">
        <f>PROPER(global_freelancer_raw[[#This Row],[NAME UPPER]])</f>
        <v>Dustin Smith</v>
      </c>
      <c r="T612" t="str">
        <f t="shared" si="48"/>
        <v>So</v>
      </c>
      <c r="U612" t="str">
        <f t="shared" si="45"/>
        <v>in Smi</v>
      </c>
      <c r="V612" t="str">
        <f t="shared" si="49"/>
        <v>11</v>
      </c>
    </row>
    <row r="613" spans="1:22" x14ac:dyDescent="0.3">
      <c r="A613" s="1" t="s">
        <v>1313</v>
      </c>
      <c r="B613" s="1" t="s">
        <v>1314</v>
      </c>
      <c r="C613" s="1" t="s">
        <v>24</v>
      </c>
      <c r="D613">
        <v>54</v>
      </c>
      <c r="E613" s="1" t="s">
        <v>17</v>
      </c>
      <c r="F613" s="1" t="s">
        <v>18</v>
      </c>
      <c r="G613" s="1" t="s">
        <v>27</v>
      </c>
      <c r="H613">
        <v>28</v>
      </c>
      <c r="I613" t="s">
        <v>61</v>
      </c>
      <c r="J613">
        <v>1.1000000000000001</v>
      </c>
      <c r="K613" t="s">
        <v>168</v>
      </c>
      <c r="M613" s="1" t="s">
        <v>72</v>
      </c>
      <c r="N613" s="1" t="s">
        <v>36</v>
      </c>
      <c r="O613">
        <v>13</v>
      </c>
      <c r="P613">
        <v>2</v>
      </c>
      <c r="Q613" t="str">
        <f t="shared" si="46"/>
        <v>SARAH WHITE</v>
      </c>
      <c r="R613" t="str">
        <f t="shared" si="47"/>
        <v>italy</v>
      </c>
      <c r="S613" t="str">
        <f>PROPER(global_freelancer_raw[[#This Row],[NAME UPPER]])</f>
        <v>Sarah White</v>
      </c>
      <c r="T613" t="str">
        <f t="shared" si="48"/>
        <v>It</v>
      </c>
      <c r="U613" t="str">
        <f t="shared" si="45"/>
        <v>h Whit</v>
      </c>
      <c r="V613" t="str">
        <f t="shared" si="49"/>
        <v>12</v>
      </c>
    </row>
    <row r="614" spans="1:22" x14ac:dyDescent="0.3">
      <c r="A614" s="1" t="s">
        <v>1315</v>
      </c>
      <c r="B614" s="1" t="s">
        <v>1316</v>
      </c>
      <c r="C614" s="1" t="s">
        <v>68</v>
      </c>
      <c r="D614">
        <v>51</v>
      </c>
      <c r="E614" s="1" t="s">
        <v>94</v>
      </c>
      <c r="F614" s="1" t="s">
        <v>95</v>
      </c>
      <c r="G614" s="1" t="s">
        <v>34</v>
      </c>
      <c r="H614">
        <v>5</v>
      </c>
      <c r="I614">
        <v>50</v>
      </c>
      <c r="J614">
        <v>4.2</v>
      </c>
      <c r="K614">
        <v>1</v>
      </c>
      <c r="L614">
        <v>0.82</v>
      </c>
      <c r="M614" s="1" t="s">
        <v>51</v>
      </c>
      <c r="N614" s="1" t="s">
        <v>21</v>
      </c>
      <c r="O614">
        <v>4</v>
      </c>
      <c r="P614">
        <v>2</v>
      </c>
      <c r="Q614" t="str">
        <f t="shared" si="46"/>
        <v>MICHAEL DAVIS</v>
      </c>
      <c r="R614" t="str">
        <f t="shared" si="47"/>
        <v>japan</v>
      </c>
      <c r="S614" t="str">
        <f>PROPER(global_freelancer_raw[[#This Row],[NAME UPPER]])</f>
        <v>Michael Davis</v>
      </c>
      <c r="T614" t="str">
        <f t="shared" si="48"/>
        <v>Ja</v>
      </c>
      <c r="U614" t="str">
        <f t="shared" si="45"/>
        <v>ael Da</v>
      </c>
      <c r="V614" t="str">
        <f t="shared" si="49"/>
        <v>13</v>
      </c>
    </row>
    <row r="615" spans="1:22" x14ac:dyDescent="0.3">
      <c r="A615" s="1" t="s">
        <v>1317</v>
      </c>
      <c r="B615" s="1" t="s">
        <v>1318</v>
      </c>
      <c r="C615" s="1" t="s">
        <v>16</v>
      </c>
      <c r="D615">
        <v>30</v>
      </c>
      <c r="E615" s="1" t="s">
        <v>121</v>
      </c>
      <c r="F615" s="1" t="s">
        <v>122</v>
      </c>
      <c r="G615" s="1" t="s">
        <v>40</v>
      </c>
      <c r="H615">
        <v>0</v>
      </c>
      <c r="J615">
        <v>0</v>
      </c>
      <c r="K615">
        <v>0</v>
      </c>
      <c r="M615" s="1" t="s">
        <v>51</v>
      </c>
      <c r="N615" s="1" t="s">
        <v>65</v>
      </c>
      <c r="O615">
        <v>1</v>
      </c>
      <c r="P615">
        <v>5</v>
      </c>
      <c r="Q615" t="str">
        <f t="shared" si="46"/>
        <v>JENNIFER PHILLIPS</v>
      </c>
      <c r="R615" t="str">
        <f t="shared" si="47"/>
        <v>south korea</v>
      </c>
      <c r="S615" t="str">
        <f>PROPER(global_freelancer_raw[[#This Row],[NAME UPPER]])</f>
        <v>Jennifer Phillips</v>
      </c>
      <c r="T615" t="str">
        <f t="shared" si="48"/>
        <v>So</v>
      </c>
      <c r="U615" t="str">
        <f t="shared" si="45"/>
        <v>ifer P</v>
      </c>
      <c r="V615" t="str">
        <f t="shared" si="49"/>
        <v>14</v>
      </c>
    </row>
    <row r="616" spans="1:22" x14ac:dyDescent="0.3">
      <c r="A616" s="1" t="s">
        <v>1319</v>
      </c>
      <c r="B616" s="1" t="s">
        <v>1320</v>
      </c>
      <c r="C616" s="1" t="s">
        <v>86</v>
      </c>
      <c r="D616">
        <v>45</v>
      </c>
      <c r="E616" s="1" t="s">
        <v>47</v>
      </c>
      <c r="F616" s="1" t="s">
        <v>48</v>
      </c>
      <c r="G616" s="1" t="s">
        <v>123</v>
      </c>
      <c r="H616">
        <v>27</v>
      </c>
      <c r="I616" t="s">
        <v>58</v>
      </c>
      <c r="J616">
        <v>0</v>
      </c>
      <c r="L616">
        <v>0.85</v>
      </c>
      <c r="M616" s="1" t="s">
        <v>72</v>
      </c>
      <c r="N616" s="1" t="s">
        <v>36</v>
      </c>
      <c r="O616">
        <v>20</v>
      </c>
      <c r="P616">
        <v>2</v>
      </c>
      <c r="Q616" t="str">
        <f t="shared" si="46"/>
        <v>DANA SANDERS</v>
      </c>
      <c r="R616" t="str">
        <f t="shared" si="47"/>
        <v>netherlands</v>
      </c>
      <c r="S616" t="str">
        <f>PROPER(global_freelancer_raw[[#This Row],[NAME UPPER]])</f>
        <v>Dana Sanders</v>
      </c>
      <c r="T616" t="str">
        <f t="shared" si="48"/>
        <v>Ne</v>
      </c>
      <c r="U616" t="str">
        <f t="shared" si="45"/>
        <v xml:space="preserve"> Sande</v>
      </c>
      <c r="V616" t="str">
        <f t="shared" si="49"/>
        <v>15</v>
      </c>
    </row>
    <row r="617" spans="1:22" x14ac:dyDescent="0.3">
      <c r="A617" s="1" t="s">
        <v>1321</v>
      </c>
      <c r="B617" s="1" t="s">
        <v>1322</v>
      </c>
      <c r="C617" s="1" t="s">
        <v>32</v>
      </c>
      <c r="D617">
        <v>57</v>
      </c>
      <c r="E617" s="1" t="s">
        <v>55</v>
      </c>
      <c r="F617" s="1" t="s">
        <v>56</v>
      </c>
      <c r="G617" s="1" t="s">
        <v>34</v>
      </c>
      <c r="H617">
        <v>26</v>
      </c>
      <c r="I617" t="s">
        <v>28</v>
      </c>
      <c r="J617">
        <v>2.4</v>
      </c>
      <c r="K617">
        <v>1</v>
      </c>
      <c r="L617">
        <v>0.78</v>
      </c>
      <c r="M617" s="1" t="s">
        <v>20</v>
      </c>
      <c r="N617" s="1" t="s">
        <v>21</v>
      </c>
      <c r="O617">
        <v>13</v>
      </c>
      <c r="P617">
        <v>11</v>
      </c>
      <c r="Q617" t="str">
        <f t="shared" si="46"/>
        <v>DANIEL QUINN</v>
      </c>
      <c r="R617" t="str">
        <f t="shared" si="47"/>
        <v>indonesia</v>
      </c>
      <c r="S617" t="str">
        <f>PROPER(global_freelancer_raw[[#This Row],[NAME UPPER]])</f>
        <v>Daniel Quinn</v>
      </c>
      <c r="T617" t="str">
        <f t="shared" si="48"/>
        <v>In</v>
      </c>
      <c r="U617" t="str">
        <f t="shared" si="45"/>
        <v>el Qui</v>
      </c>
      <c r="V617" t="str">
        <f t="shared" si="49"/>
        <v>16</v>
      </c>
    </row>
    <row r="618" spans="1:22" x14ac:dyDescent="0.3">
      <c r="A618" s="1" t="s">
        <v>1323</v>
      </c>
      <c r="B618" s="1" t="s">
        <v>1324</v>
      </c>
      <c r="C618" s="1" t="s">
        <v>106</v>
      </c>
      <c r="D618">
        <v>38</v>
      </c>
      <c r="E618" s="1" t="s">
        <v>69</v>
      </c>
      <c r="F618" s="1" t="s">
        <v>70</v>
      </c>
      <c r="G618" s="1" t="s">
        <v>19</v>
      </c>
      <c r="H618">
        <v>19</v>
      </c>
      <c r="I618">
        <v>40</v>
      </c>
      <c r="J618">
        <v>0</v>
      </c>
      <c r="K618">
        <v>1</v>
      </c>
      <c r="L618">
        <v>0.86</v>
      </c>
      <c r="M618" s="1" t="s">
        <v>77</v>
      </c>
      <c r="N618" s="1" t="s">
        <v>29</v>
      </c>
      <c r="O618">
        <v>17</v>
      </c>
      <c r="P618">
        <v>5</v>
      </c>
      <c r="Q618" t="str">
        <f t="shared" si="46"/>
        <v>MATTHEW STEELE</v>
      </c>
      <c r="R618" t="str">
        <f t="shared" si="47"/>
        <v>turkey</v>
      </c>
      <c r="S618" t="str">
        <f>PROPER(global_freelancer_raw[[#This Row],[NAME UPPER]])</f>
        <v>Matthew Steele</v>
      </c>
      <c r="T618" t="str">
        <f t="shared" si="48"/>
        <v>Tu</v>
      </c>
      <c r="U618" t="str">
        <f t="shared" si="45"/>
        <v>hew St</v>
      </c>
      <c r="V618" t="str">
        <f t="shared" si="49"/>
        <v>17</v>
      </c>
    </row>
    <row r="619" spans="1:22" x14ac:dyDescent="0.3">
      <c r="A619" s="1" t="s">
        <v>1325</v>
      </c>
      <c r="B619" s="1" t="s">
        <v>1326</v>
      </c>
      <c r="C619" s="1" t="s">
        <v>24</v>
      </c>
      <c r="D619">
        <v>42</v>
      </c>
      <c r="E619" s="1" t="s">
        <v>133</v>
      </c>
      <c r="F619" s="1" t="s">
        <v>134</v>
      </c>
      <c r="G619" s="1" t="s">
        <v>98</v>
      </c>
      <c r="H619">
        <v>24</v>
      </c>
      <c r="I619" t="s">
        <v>61</v>
      </c>
      <c r="K619" t="b">
        <v>0</v>
      </c>
      <c r="L619">
        <v>0.88</v>
      </c>
      <c r="M619" s="1" t="s">
        <v>51</v>
      </c>
      <c r="N619" s="1" t="s">
        <v>36</v>
      </c>
      <c r="O619">
        <v>12</v>
      </c>
      <c r="P619">
        <v>3</v>
      </c>
      <c r="Q619" t="str">
        <f t="shared" si="46"/>
        <v>MICHELE TAYLOR</v>
      </c>
      <c r="R619" t="str">
        <f t="shared" si="47"/>
        <v>russia</v>
      </c>
      <c r="S619" t="str">
        <f>PROPER(global_freelancer_raw[[#This Row],[NAME UPPER]])</f>
        <v>Michele Taylor</v>
      </c>
      <c r="T619" t="str">
        <f t="shared" si="48"/>
        <v>Ru</v>
      </c>
      <c r="U619" t="str">
        <f t="shared" si="45"/>
        <v>ele Ta</v>
      </c>
      <c r="V619" t="str">
        <f t="shared" si="49"/>
        <v>18</v>
      </c>
    </row>
    <row r="620" spans="1:22" x14ac:dyDescent="0.3">
      <c r="A620" s="1" t="s">
        <v>1327</v>
      </c>
      <c r="B620" s="1" t="s">
        <v>1328</v>
      </c>
      <c r="C620" s="1" t="s">
        <v>86</v>
      </c>
      <c r="D620">
        <v>30</v>
      </c>
      <c r="E620" s="1" t="s">
        <v>162</v>
      </c>
      <c r="F620" s="1" t="s">
        <v>163</v>
      </c>
      <c r="G620" s="1" t="s">
        <v>98</v>
      </c>
      <c r="H620">
        <v>7</v>
      </c>
      <c r="I620">
        <v>30</v>
      </c>
      <c r="J620">
        <v>3.3</v>
      </c>
      <c r="L620">
        <v>0.68</v>
      </c>
      <c r="M620" s="1" t="s">
        <v>51</v>
      </c>
      <c r="N620" s="1" t="s">
        <v>36</v>
      </c>
      <c r="O620">
        <v>8</v>
      </c>
      <c r="P620">
        <v>14</v>
      </c>
      <c r="Q620" t="str">
        <f t="shared" si="46"/>
        <v>ASHLEY HAMMOND</v>
      </c>
      <c r="R620" t="str">
        <f t="shared" si="47"/>
        <v>south africa</v>
      </c>
      <c r="S620" t="str">
        <f>PROPER(global_freelancer_raw[[#This Row],[NAME UPPER]])</f>
        <v>Ashley Hammond</v>
      </c>
      <c r="T620" t="str">
        <f t="shared" si="48"/>
        <v>So</v>
      </c>
      <c r="U620" t="str">
        <f t="shared" si="45"/>
        <v>ey Ham</v>
      </c>
      <c r="V620" t="str">
        <f t="shared" si="49"/>
        <v>19</v>
      </c>
    </row>
    <row r="621" spans="1:22" x14ac:dyDescent="0.3">
      <c r="A621" s="1" t="s">
        <v>1329</v>
      </c>
      <c r="B621" s="1" t="s">
        <v>1330</v>
      </c>
      <c r="C621" s="1" t="s">
        <v>44</v>
      </c>
      <c r="D621">
        <v>43</v>
      </c>
      <c r="E621" s="1" t="s">
        <v>25</v>
      </c>
      <c r="F621" s="1" t="s">
        <v>26</v>
      </c>
      <c r="G621" s="1" t="s">
        <v>40</v>
      </c>
      <c r="H621">
        <v>13</v>
      </c>
      <c r="I621" t="s">
        <v>238</v>
      </c>
      <c r="J621">
        <v>1.4</v>
      </c>
      <c r="K621">
        <v>1</v>
      </c>
      <c r="L621">
        <v>0.97</v>
      </c>
      <c r="M621" s="1" t="s">
        <v>72</v>
      </c>
      <c r="N621" s="1" t="s">
        <v>29</v>
      </c>
      <c r="O621">
        <v>7</v>
      </c>
      <c r="P621">
        <v>4</v>
      </c>
      <c r="Q621" t="str">
        <f t="shared" si="46"/>
        <v>NICOLE TAYLOR</v>
      </c>
      <c r="R621" t="str">
        <f t="shared" si="47"/>
        <v>australia</v>
      </c>
      <c r="S621" t="str">
        <f>PROPER(global_freelancer_raw[[#This Row],[NAME UPPER]])</f>
        <v>Nicole Taylor</v>
      </c>
      <c r="T621" t="str">
        <f t="shared" si="48"/>
        <v>Au</v>
      </c>
      <c r="U621" t="str">
        <f t="shared" si="45"/>
        <v>le Tay</v>
      </c>
      <c r="V621" t="str">
        <f t="shared" si="49"/>
        <v>20</v>
      </c>
    </row>
    <row r="622" spans="1:22" x14ac:dyDescent="0.3">
      <c r="A622" s="1" t="s">
        <v>1331</v>
      </c>
      <c r="B622" s="1" t="s">
        <v>1332</v>
      </c>
      <c r="C622" s="1" t="s">
        <v>106</v>
      </c>
      <c r="D622">
        <v>22</v>
      </c>
      <c r="E622" s="1" t="s">
        <v>148</v>
      </c>
      <c r="F622" s="1" t="s">
        <v>149</v>
      </c>
      <c r="G622" s="1" t="s">
        <v>82</v>
      </c>
      <c r="H622">
        <v>2</v>
      </c>
      <c r="I622" t="s">
        <v>179</v>
      </c>
      <c r="J622">
        <v>1.7</v>
      </c>
      <c r="K622" t="s">
        <v>168</v>
      </c>
      <c r="L622">
        <v>0.91</v>
      </c>
      <c r="M622" s="1" t="s">
        <v>77</v>
      </c>
      <c r="N622" s="1" t="s">
        <v>65</v>
      </c>
      <c r="O622">
        <v>5</v>
      </c>
      <c r="P622">
        <v>1</v>
      </c>
      <c r="Q622" t="str">
        <f t="shared" si="46"/>
        <v>CASEY BUSH</v>
      </c>
      <c r="R622" t="str">
        <f t="shared" si="47"/>
        <v>egypt</v>
      </c>
      <c r="S622" t="str">
        <f>PROPER(global_freelancer_raw[[#This Row],[NAME UPPER]])</f>
        <v>Casey Bush</v>
      </c>
      <c r="T622" t="str">
        <f t="shared" si="48"/>
        <v>Eg</v>
      </c>
      <c r="U622" t="str">
        <f t="shared" si="45"/>
        <v>y Bush</v>
      </c>
      <c r="V622" t="str">
        <f t="shared" si="49"/>
        <v>21</v>
      </c>
    </row>
    <row r="623" spans="1:22" x14ac:dyDescent="0.3">
      <c r="A623" s="1" t="s">
        <v>1333</v>
      </c>
      <c r="B623" s="1" t="s">
        <v>1334</v>
      </c>
      <c r="C623" s="1" t="s">
        <v>101</v>
      </c>
      <c r="D623">
        <v>57</v>
      </c>
      <c r="E623" s="1" t="s">
        <v>188</v>
      </c>
      <c r="F623" s="1" t="s">
        <v>81</v>
      </c>
      <c r="G623" s="1" t="s">
        <v>123</v>
      </c>
      <c r="H623">
        <v>37</v>
      </c>
      <c r="I623">
        <v>30</v>
      </c>
      <c r="J623">
        <v>4.8</v>
      </c>
      <c r="K623" t="b">
        <v>0</v>
      </c>
      <c r="M623" s="1" t="s">
        <v>72</v>
      </c>
      <c r="N623" s="1" t="s">
        <v>29</v>
      </c>
      <c r="O623">
        <v>10</v>
      </c>
      <c r="P623">
        <v>7</v>
      </c>
      <c r="Q623" t="str">
        <f t="shared" si="46"/>
        <v>SAMUEL PATTERSON</v>
      </c>
      <c r="R623" t="str">
        <f t="shared" si="47"/>
        <v>mexico</v>
      </c>
      <c r="S623" t="str">
        <f>PROPER(global_freelancer_raw[[#This Row],[NAME UPPER]])</f>
        <v>Samuel Patterson</v>
      </c>
      <c r="T623" t="str">
        <f t="shared" si="48"/>
        <v>Me</v>
      </c>
      <c r="U623" t="str">
        <f t="shared" si="45"/>
        <v>el Pat</v>
      </c>
      <c r="V623" t="str">
        <f t="shared" si="49"/>
        <v>22</v>
      </c>
    </row>
    <row r="624" spans="1:22" x14ac:dyDescent="0.3">
      <c r="A624" s="1" t="s">
        <v>1335</v>
      </c>
      <c r="B624" s="1" t="s">
        <v>1336</v>
      </c>
      <c r="C624" s="1" t="s">
        <v>68</v>
      </c>
      <c r="D624">
        <v>44</v>
      </c>
      <c r="E624" s="1" t="s">
        <v>75</v>
      </c>
      <c r="F624" s="1" t="s">
        <v>26</v>
      </c>
      <c r="G624" s="1" t="s">
        <v>34</v>
      </c>
      <c r="H624">
        <v>1</v>
      </c>
      <c r="J624">
        <v>4.8</v>
      </c>
      <c r="K624" t="s">
        <v>35</v>
      </c>
      <c r="L624">
        <v>0.97</v>
      </c>
      <c r="M624" s="1" t="s">
        <v>77</v>
      </c>
      <c r="N624" s="1" t="s">
        <v>36</v>
      </c>
      <c r="O624">
        <v>1</v>
      </c>
      <c r="P624">
        <v>1</v>
      </c>
      <c r="Q624" t="str">
        <f t="shared" si="46"/>
        <v>CRAIG DENNIS</v>
      </c>
      <c r="R624" t="str">
        <f t="shared" si="47"/>
        <v>uk</v>
      </c>
      <c r="S624" t="str">
        <f>PROPER(global_freelancer_raw[[#This Row],[NAME UPPER]])</f>
        <v>Craig Dennis</v>
      </c>
      <c r="T624" t="str">
        <f t="shared" si="48"/>
        <v>UK</v>
      </c>
      <c r="U624" t="str">
        <f t="shared" si="45"/>
        <v>g Denn</v>
      </c>
      <c r="V624" t="str">
        <f t="shared" si="49"/>
        <v>23</v>
      </c>
    </row>
    <row r="625" spans="1:22" x14ac:dyDescent="0.3">
      <c r="A625" s="1" t="s">
        <v>1337</v>
      </c>
      <c r="B625" s="1" t="s">
        <v>1338</v>
      </c>
      <c r="C625" s="1" t="s">
        <v>44</v>
      </c>
      <c r="D625">
        <v>46</v>
      </c>
      <c r="E625" s="1" t="s">
        <v>184</v>
      </c>
      <c r="F625" s="1" t="s">
        <v>185</v>
      </c>
      <c r="G625" s="1" t="s">
        <v>98</v>
      </c>
      <c r="H625">
        <v>5</v>
      </c>
      <c r="I625" t="s">
        <v>118</v>
      </c>
      <c r="J625">
        <v>2</v>
      </c>
      <c r="K625" t="s">
        <v>76</v>
      </c>
      <c r="L625">
        <v>0.64</v>
      </c>
      <c r="M625" s="1" t="s">
        <v>77</v>
      </c>
      <c r="N625" s="1" t="s">
        <v>29</v>
      </c>
      <c r="O625">
        <v>3</v>
      </c>
      <c r="P625">
        <v>1</v>
      </c>
      <c r="Q625" t="str">
        <f t="shared" si="46"/>
        <v>HEIDI DIXON</v>
      </c>
      <c r="R625" t="str">
        <f t="shared" si="47"/>
        <v>china</v>
      </c>
      <c r="S625" t="str">
        <f>PROPER(global_freelancer_raw[[#This Row],[NAME UPPER]])</f>
        <v>Heidi Dixon</v>
      </c>
      <c r="T625" t="str">
        <f t="shared" si="48"/>
        <v>Ch</v>
      </c>
      <c r="U625" t="str">
        <f t="shared" si="45"/>
        <v>i Dixo</v>
      </c>
      <c r="V625" t="str">
        <f t="shared" si="49"/>
        <v>24</v>
      </c>
    </row>
    <row r="626" spans="1:22" x14ac:dyDescent="0.3">
      <c r="A626" s="1" t="s">
        <v>1339</v>
      </c>
      <c r="B626" s="1" t="s">
        <v>1340</v>
      </c>
      <c r="C626" s="1" t="s">
        <v>106</v>
      </c>
      <c r="E626" s="1" t="s">
        <v>199</v>
      </c>
      <c r="F626" s="1" t="s">
        <v>81</v>
      </c>
      <c r="G626" s="1" t="s">
        <v>19</v>
      </c>
      <c r="H626">
        <v>1</v>
      </c>
      <c r="I626" t="s">
        <v>107</v>
      </c>
      <c r="J626">
        <v>2.8</v>
      </c>
      <c r="K626" t="s">
        <v>168</v>
      </c>
      <c r="L626">
        <v>0.87</v>
      </c>
      <c r="M626" s="1" t="s">
        <v>77</v>
      </c>
      <c r="N626" s="1" t="s">
        <v>21</v>
      </c>
      <c r="O626">
        <v>3</v>
      </c>
      <c r="P626">
        <v>1</v>
      </c>
      <c r="Q626" t="str">
        <f t="shared" si="46"/>
        <v>DAVID BISHOP</v>
      </c>
      <c r="R626" t="str">
        <f t="shared" si="47"/>
        <v>spain</v>
      </c>
      <c r="S626" t="str">
        <f>PROPER(global_freelancer_raw[[#This Row],[NAME UPPER]])</f>
        <v>David Bishop</v>
      </c>
      <c r="T626" t="str">
        <f t="shared" si="48"/>
        <v>Sp</v>
      </c>
      <c r="U626" t="str">
        <f t="shared" si="45"/>
        <v>d Bish</v>
      </c>
      <c r="V626" t="str">
        <f t="shared" si="49"/>
        <v>25</v>
      </c>
    </row>
    <row r="627" spans="1:22" x14ac:dyDescent="0.3">
      <c r="A627" s="1" t="s">
        <v>1341</v>
      </c>
      <c r="B627" s="1" t="s">
        <v>1342</v>
      </c>
      <c r="C627" s="1" t="s">
        <v>86</v>
      </c>
      <c r="D627">
        <v>34</v>
      </c>
      <c r="E627" s="1" t="s">
        <v>25</v>
      </c>
      <c r="F627" s="1" t="s">
        <v>26</v>
      </c>
      <c r="G627" s="1" t="s">
        <v>57</v>
      </c>
      <c r="H627">
        <v>2</v>
      </c>
      <c r="I627">
        <v>100</v>
      </c>
      <c r="J627">
        <v>0</v>
      </c>
      <c r="K627">
        <v>0</v>
      </c>
      <c r="L627">
        <v>86</v>
      </c>
      <c r="M627" s="1" t="s">
        <v>51</v>
      </c>
      <c r="N627" s="1" t="s">
        <v>29</v>
      </c>
      <c r="O627">
        <v>5</v>
      </c>
      <c r="P627">
        <v>1</v>
      </c>
      <c r="Q627" t="str">
        <f t="shared" si="46"/>
        <v>LAURA BUTLER</v>
      </c>
      <c r="R627" t="str">
        <f t="shared" si="47"/>
        <v>australia</v>
      </c>
      <c r="S627" t="str">
        <f>PROPER(global_freelancer_raw[[#This Row],[NAME UPPER]])</f>
        <v>Laura Butler</v>
      </c>
      <c r="T627" t="str">
        <f t="shared" si="48"/>
        <v>Au</v>
      </c>
      <c r="U627" t="str">
        <f t="shared" si="45"/>
        <v>a Butl</v>
      </c>
      <c r="V627" t="str">
        <f t="shared" si="49"/>
        <v>26</v>
      </c>
    </row>
    <row r="628" spans="1:22" x14ac:dyDescent="0.3">
      <c r="A628" s="1" t="s">
        <v>1343</v>
      </c>
      <c r="B628" s="1" t="s">
        <v>1344</v>
      </c>
      <c r="C628" s="1" t="s">
        <v>39</v>
      </c>
      <c r="D628">
        <v>46</v>
      </c>
      <c r="E628" s="1" t="s">
        <v>17</v>
      </c>
      <c r="F628" s="1" t="s">
        <v>18</v>
      </c>
      <c r="G628" s="1" t="s">
        <v>27</v>
      </c>
      <c r="I628" t="s">
        <v>238</v>
      </c>
      <c r="J628">
        <v>4.4000000000000004</v>
      </c>
      <c r="K628">
        <v>1</v>
      </c>
      <c r="L628">
        <v>97</v>
      </c>
      <c r="M628" s="1" t="s">
        <v>20</v>
      </c>
      <c r="N628" s="1" t="s">
        <v>36</v>
      </c>
      <c r="O628">
        <v>2</v>
      </c>
      <c r="P628">
        <v>3</v>
      </c>
      <c r="Q628" t="str">
        <f t="shared" si="46"/>
        <v>DENISE ERICKSON</v>
      </c>
      <c r="R628" t="str">
        <f t="shared" si="47"/>
        <v>italy</v>
      </c>
      <c r="S628" t="str">
        <f>PROPER(global_freelancer_raw[[#This Row],[NAME UPPER]])</f>
        <v>Denise Erickson</v>
      </c>
      <c r="T628" t="str">
        <f t="shared" si="48"/>
        <v>It</v>
      </c>
      <c r="U628" t="str">
        <f t="shared" si="45"/>
        <v>se Eri</v>
      </c>
      <c r="V628" t="str">
        <f t="shared" si="49"/>
        <v>27</v>
      </c>
    </row>
    <row r="629" spans="1:22" x14ac:dyDescent="0.3">
      <c r="A629" s="1" t="s">
        <v>1345</v>
      </c>
      <c r="B629" s="1" t="s">
        <v>1346</v>
      </c>
      <c r="C629" s="1" t="s">
        <v>16</v>
      </c>
      <c r="D629">
        <v>22</v>
      </c>
      <c r="E629" s="1" t="s">
        <v>144</v>
      </c>
      <c r="F629" s="1" t="s">
        <v>145</v>
      </c>
      <c r="G629" s="1" t="s">
        <v>19</v>
      </c>
      <c r="H629">
        <v>0</v>
      </c>
      <c r="I629" t="s">
        <v>118</v>
      </c>
      <c r="J629">
        <v>4.9000000000000004</v>
      </c>
      <c r="K629" t="b">
        <v>0</v>
      </c>
      <c r="L629">
        <v>0.73</v>
      </c>
      <c r="M629" s="1" t="s">
        <v>72</v>
      </c>
      <c r="N629" s="1" t="s">
        <v>29</v>
      </c>
      <c r="O629">
        <v>3</v>
      </c>
      <c r="P629">
        <v>2</v>
      </c>
      <c r="Q629" t="str">
        <f t="shared" si="46"/>
        <v>NICOLE AUSTIN</v>
      </c>
      <c r="R629" t="str">
        <f t="shared" si="47"/>
        <v>france</v>
      </c>
      <c r="S629" t="str">
        <f>PROPER(global_freelancer_raw[[#This Row],[NAME UPPER]])</f>
        <v>Nicole Austin</v>
      </c>
      <c r="T629" t="str">
        <f t="shared" si="48"/>
        <v>Fr</v>
      </c>
      <c r="U629" t="str">
        <f t="shared" si="45"/>
        <v>le Aus</v>
      </c>
      <c r="V629" t="str">
        <f t="shared" si="49"/>
        <v>28</v>
      </c>
    </row>
    <row r="630" spans="1:22" x14ac:dyDescent="0.3">
      <c r="A630" s="1" t="s">
        <v>1347</v>
      </c>
      <c r="B630" s="1" t="s">
        <v>1348</v>
      </c>
      <c r="C630" s="1" t="s">
        <v>44</v>
      </c>
      <c r="D630">
        <v>23</v>
      </c>
      <c r="E630" s="1" t="s">
        <v>162</v>
      </c>
      <c r="F630" s="1" t="s">
        <v>163</v>
      </c>
      <c r="G630" s="1" t="s">
        <v>49</v>
      </c>
      <c r="H630">
        <v>0</v>
      </c>
      <c r="I630" t="s">
        <v>58</v>
      </c>
      <c r="J630">
        <v>2.2999999999999998</v>
      </c>
      <c r="L630">
        <v>0.6</v>
      </c>
      <c r="M630" s="1" t="s">
        <v>20</v>
      </c>
      <c r="N630" s="1" t="s">
        <v>65</v>
      </c>
      <c r="O630">
        <v>4</v>
      </c>
      <c r="P630">
        <v>1</v>
      </c>
      <c r="Q630" t="str">
        <f t="shared" si="46"/>
        <v>SUMMER WILLIAMS</v>
      </c>
      <c r="R630" t="str">
        <f t="shared" si="47"/>
        <v>south africa</v>
      </c>
      <c r="S630" t="str">
        <f>PROPER(global_freelancer_raw[[#This Row],[NAME UPPER]])</f>
        <v>Summer Williams</v>
      </c>
      <c r="T630" t="str">
        <f t="shared" si="48"/>
        <v>So</v>
      </c>
      <c r="U630" t="str">
        <f t="shared" si="45"/>
        <v>er Wil</v>
      </c>
      <c r="V630" t="str">
        <f t="shared" si="49"/>
        <v>29</v>
      </c>
    </row>
    <row r="631" spans="1:22" x14ac:dyDescent="0.3">
      <c r="A631" s="1" t="s">
        <v>1349</v>
      </c>
      <c r="B631" s="1" t="s">
        <v>1350</v>
      </c>
      <c r="C631" s="1" t="s">
        <v>39</v>
      </c>
      <c r="D631">
        <v>60</v>
      </c>
      <c r="E631" s="1" t="s">
        <v>69</v>
      </c>
      <c r="F631" s="1" t="s">
        <v>70</v>
      </c>
      <c r="G631" s="1" t="s">
        <v>40</v>
      </c>
      <c r="H631">
        <v>41</v>
      </c>
      <c r="I631" t="s">
        <v>41</v>
      </c>
      <c r="J631">
        <v>4.9000000000000004</v>
      </c>
      <c r="K631">
        <v>1</v>
      </c>
      <c r="L631">
        <v>66</v>
      </c>
      <c r="M631" s="1" t="s">
        <v>72</v>
      </c>
      <c r="N631" s="1" t="s">
        <v>29</v>
      </c>
      <c r="O631">
        <v>20</v>
      </c>
      <c r="P631">
        <v>19</v>
      </c>
      <c r="Q631" t="str">
        <f t="shared" si="46"/>
        <v>ANGELA BLACKWELL</v>
      </c>
      <c r="R631" t="str">
        <f t="shared" si="47"/>
        <v>turkey</v>
      </c>
      <c r="S631" t="str">
        <f>PROPER(global_freelancer_raw[[#This Row],[NAME UPPER]])</f>
        <v>Angela Blackwell</v>
      </c>
      <c r="T631" t="str">
        <f t="shared" si="48"/>
        <v>Tu</v>
      </c>
      <c r="U631" t="str">
        <f t="shared" si="45"/>
        <v>la Bla</v>
      </c>
      <c r="V631" t="str">
        <f t="shared" si="49"/>
        <v>30</v>
      </c>
    </row>
    <row r="632" spans="1:22" x14ac:dyDescent="0.3">
      <c r="A632" s="1" t="s">
        <v>1351</v>
      </c>
      <c r="B632" s="1" t="s">
        <v>1352</v>
      </c>
      <c r="C632" s="1" t="s">
        <v>54</v>
      </c>
      <c r="D632">
        <v>20</v>
      </c>
      <c r="E632" s="1" t="s">
        <v>137</v>
      </c>
      <c r="F632" s="1" t="s">
        <v>26</v>
      </c>
      <c r="G632" s="1" t="s">
        <v>98</v>
      </c>
      <c r="I632" t="s">
        <v>179</v>
      </c>
      <c r="J632">
        <v>4.3</v>
      </c>
      <c r="K632">
        <v>0</v>
      </c>
      <c r="L632">
        <v>0.9</v>
      </c>
      <c r="M632" s="1" t="s">
        <v>77</v>
      </c>
      <c r="N632" s="1" t="s">
        <v>65</v>
      </c>
      <c r="O632">
        <v>1</v>
      </c>
      <c r="P632">
        <v>2</v>
      </c>
      <c r="Q632" t="str">
        <f t="shared" si="46"/>
        <v>THOMAS WALL</v>
      </c>
      <c r="R632" t="str">
        <f t="shared" si="47"/>
        <v>canada</v>
      </c>
      <c r="S632" t="str">
        <f>PROPER(global_freelancer_raw[[#This Row],[NAME UPPER]])</f>
        <v>Thomas Wall</v>
      </c>
      <c r="T632" t="str">
        <f t="shared" si="48"/>
        <v>Ca</v>
      </c>
      <c r="U632" t="str">
        <f t="shared" si="45"/>
        <v>as Wal</v>
      </c>
      <c r="V632" t="str">
        <f t="shared" si="49"/>
        <v>31</v>
      </c>
    </row>
    <row r="633" spans="1:22" x14ac:dyDescent="0.3">
      <c r="A633" s="1" t="s">
        <v>1353</v>
      </c>
      <c r="B633" s="1" t="s">
        <v>1354</v>
      </c>
      <c r="C633" s="1" t="s">
        <v>16</v>
      </c>
      <c r="D633">
        <v>41</v>
      </c>
      <c r="E633" s="1" t="s">
        <v>121</v>
      </c>
      <c r="F633" s="1" t="s">
        <v>122</v>
      </c>
      <c r="G633" s="1" t="s">
        <v>82</v>
      </c>
      <c r="H633">
        <v>23</v>
      </c>
      <c r="I633" t="s">
        <v>179</v>
      </c>
      <c r="J633">
        <v>1.4</v>
      </c>
      <c r="K633">
        <v>0</v>
      </c>
      <c r="M633" s="1" t="s">
        <v>51</v>
      </c>
      <c r="N633" s="1" t="s">
        <v>21</v>
      </c>
      <c r="O633">
        <v>11</v>
      </c>
      <c r="P633">
        <v>4</v>
      </c>
      <c r="Q633" t="str">
        <f t="shared" si="46"/>
        <v>SARAH ANDERSON</v>
      </c>
      <c r="R633" t="str">
        <f t="shared" si="47"/>
        <v>south korea</v>
      </c>
      <c r="S633" t="str">
        <f>PROPER(global_freelancer_raw[[#This Row],[NAME UPPER]])</f>
        <v>Sarah Anderson</v>
      </c>
      <c r="T633" t="str">
        <f t="shared" si="48"/>
        <v>So</v>
      </c>
      <c r="U633" t="str">
        <f t="shared" si="45"/>
        <v>h Ande</v>
      </c>
      <c r="V633" t="str">
        <f t="shared" si="49"/>
        <v>32</v>
      </c>
    </row>
    <row r="634" spans="1:22" x14ac:dyDescent="0.3">
      <c r="A634" s="1" t="s">
        <v>1355</v>
      </c>
      <c r="B634" s="1" t="s">
        <v>1356</v>
      </c>
      <c r="C634" s="1" t="s">
        <v>54</v>
      </c>
      <c r="D634">
        <v>24</v>
      </c>
      <c r="E634" s="1" t="s">
        <v>144</v>
      </c>
      <c r="F634" s="1" t="s">
        <v>145</v>
      </c>
      <c r="G634" s="1" t="s">
        <v>27</v>
      </c>
      <c r="H634">
        <v>0</v>
      </c>
      <c r="I634">
        <v>100</v>
      </c>
      <c r="K634" t="s">
        <v>168</v>
      </c>
      <c r="M634" s="1" t="s">
        <v>20</v>
      </c>
      <c r="N634" s="1" t="s">
        <v>65</v>
      </c>
      <c r="O634">
        <v>5</v>
      </c>
      <c r="P634">
        <v>1</v>
      </c>
      <c r="Q634" t="str">
        <f t="shared" si="46"/>
        <v>CHRISTIAN LANE</v>
      </c>
      <c r="R634" t="str">
        <f t="shared" si="47"/>
        <v>france</v>
      </c>
      <c r="S634" t="str">
        <f>PROPER(global_freelancer_raw[[#This Row],[NAME UPPER]])</f>
        <v>Christian Lane</v>
      </c>
      <c r="T634" t="str">
        <f t="shared" si="48"/>
        <v>Fr</v>
      </c>
      <c r="U634" t="str">
        <f t="shared" si="45"/>
        <v xml:space="preserve">stian </v>
      </c>
      <c r="V634" t="str">
        <f t="shared" si="49"/>
        <v>33</v>
      </c>
    </row>
    <row r="635" spans="1:22" x14ac:dyDescent="0.3">
      <c r="A635" s="1" t="s">
        <v>1357</v>
      </c>
      <c r="B635" s="1" t="s">
        <v>1358</v>
      </c>
      <c r="C635" s="1" t="s">
        <v>54</v>
      </c>
      <c r="D635">
        <v>44</v>
      </c>
      <c r="E635" s="1" t="s">
        <v>47</v>
      </c>
      <c r="F635" s="1" t="s">
        <v>48</v>
      </c>
      <c r="G635" s="1" t="s">
        <v>123</v>
      </c>
      <c r="H635">
        <v>4</v>
      </c>
      <c r="J635">
        <v>1.3</v>
      </c>
      <c r="K635" t="s">
        <v>76</v>
      </c>
      <c r="L635">
        <v>77</v>
      </c>
      <c r="M635" s="1" t="s">
        <v>51</v>
      </c>
      <c r="N635" s="1" t="s">
        <v>29</v>
      </c>
      <c r="O635">
        <v>3</v>
      </c>
      <c r="P635">
        <v>3</v>
      </c>
      <c r="Q635" t="str">
        <f t="shared" si="46"/>
        <v>TODD CASEY</v>
      </c>
      <c r="R635" t="str">
        <f t="shared" si="47"/>
        <v>netherlands</v>
      </c>
      <c r="S635" t="str">
        <f>PROPER(global_freelancer_raw[[#This Row],[NAME UPPER]])</f>
        <v>Todd Casey</v>
      </c>
      <c r="T635" t="str">
        <f t="shared" si="48"/>
        <v>Ne</v>
      </c>
      <c r="U635" t="str">
        <f t="shared" si="45"/>
        <v xml:space="preserve"> Casey</v>
      </c>
      <c r="V635" t="str">
        <f t="shared" si="49"/>
        <v>34</v>
      </c>
    </row>
    <row r="636" spans="1:22" x14ac:dyDescent="0.3">
      <c r="A636" s="1" t="s">
        <v>1359</v>
      </c>
      <c r="B636" s="1" t="s">
        <v>1360</v>
      </c>
      <c r="C636" s="1" t="s">
        <v>68</v>
      </c>
      <c r="D636">
        <v>52</v>
      </c>
      <c r="E636" s="1" t="s">
        <v>184</v>
      </c>
      <c r="F636" s="1" t="s">
        <v>185</v>
      </c>
      <c r="G636" s="1" t="s">
        <v>82</v>
      </c>
      <c r="H636">
        <v>4</v>
      </c>
      <c r="I636">
        <v>75</v>
      </c>
      <c r="J636">
        <v>2.2999999999999998</v>
      </c>
      <c r="K636">
        <v>1</v>
      </c>
      <c r="L636">
        <v>0.79</v>
      </c>
      <c r="M636" s="1" t="s">
        <v>72</v>
      </c>
      <c r="N636" s="1" t="s">
        <v>36</v>
      </c>
      <c r="O636">
        <v>1</v>
      </c>
      <c r="P636">
        <v>2</v>
      </c>
      <c r="Q636" t="str">
        <f t="shared" si="46"/>
        <v>DAVID MARTINEZ</v>
      </c>
      <c r="R636" t="str">
        <f t="shared" si="47"/>
        <v>china</v>
      </c>
      <c r="S636" t="str">
        <f>PROPER(global_freelancer_raw[[#This Row],[NAME UPPER]])</f>
        <v>David Martinez</v>
      </c>
      <c r="T636" t="str">
        <f t="shared" si="48"/>
        <v>Ch</v>
      </c>
      <c r="U636" t="str">
        <f t="shared" si="45"/>
        <v>d Mart</v>
      </c>
      <c r="V636" t="str">
        <f t="shared" si="49"/>
        <v>35</v>
      </c>
    </row>
    <row r="637" spans="1:22" x14ac:dyDescent="0.3">
      <c r="A637" s="1" t="s">
        <v>1361</v>
      </c>
      <c r="B637" s="1" t="s">
        <v>1362</v>
      </c>
      <c r="C637" s="1" t="s">
        <v>101</v>
      </c>
      <c r="D637">
        <v>35</v>
      </c>
      <c r="E637" s="1" t="s">
        <v>199</v>
      </c>
      <c r="F637" s="1" t="s">
        <v>81</v>
      </c>
      <c r="G637" s="1" t="s">
        <v>123</v>
      </c>
      <c r="H637">
        <v>13</v>
      </c>
      <c r="I637">
        <v>40</v>
      </c>
      <c r="J637">
        <v>3.6</v>
      </c>
      <c r="K637">
        <v>0</v>
      </c>
      <c r="L637">
        <v>0.83</v>
      </c>
      <c r="M637" s="1" t="s">
        <v>51</v>
      </c>
      <c r="N637" s="1" t="s">
        <v>65</v>
      </c>
      <c r="O637">
        <v>14</v>
      </c>
      <c r="P637">
        <v>4</v>
      </c>
      <c r="Q637" t="str">
        <f t="shared" si="46"/>
        <v>DONALD SALAS</v>
      </c>
      <c r="R637" t="str">
        <f t="shared" si="47"/>
        <v>spain</v>
      </c>
      <c r="S637" t="str">
        <f>PROPER(global_freelancer_raw[[#This Row],[NAME UPPER]])</f>
        <v>Donald Salas</v>
      </c>
      <c r="T637" t="str">
        <f t="shared" si="48"/>
        <v>Sp</v>
      </c>
      <c r="U637" t="str">
        <f t="shared" si="45"/>
        <v>ld Sal</v>
      </c>
      <c r="V637" t="str">
        <f t="shared" si="49"/>
        <v>36</v>
      </c>
    </row>
    <row r="638" spans="1:22" x14ac:dyDescent="0.3">
      <c r="A638" s="1" t="s">
        <v>1363</v>
      </c>
      <c r="B638" s="1" t="s">
        <v>1364</v>
      </c>
      <c r="C638" s="1" t="s">
        <v>86</v>
      </c>
      <c r="D638">
        <v>24</v>
      </c>
      <c r="E638" s="1" t="s">
        <v>47</v>
      </c>
      <c r="F638" s="1" t="s">
        <v>48</v>
      </c>
      <c r="G638" s="1" t="s">
        <v>98</v>
      </c>
      <c r="H638">
        <v>2</v>
      </c>
      <c r="I638" t="s">
        <v>71</v>
      </c>
      <c r="K638" t="s">
        <v>35</v>
      </c>
      <c r="L638">
        <v>0.64</v>
      </c>
      <c r="M638" s="1" t="s">
        <v>51</v>
      </c>
      <c r="N638" s="1" t="s">
        <v>21</v>
      </c>
      <c r="O638">
        <v>4</v>
      </c>
      <c r="P638">
        <v>2</v>
      </c>
      <c r="Q638" t="str">
        <f t="shared" si="46"/>
        <v>EMMA HICKS</v>
      </c>
      <c r="R638" t="str">
        <f t="shared" si="47"/>
        <v>netherlands</v>
      </c>
      <c r="S638" t="str">
        <f>PROPER(global_freelancer_raw[[#This Row],[NAME UPPER]])</f>
        <v>Emma Hicks</v>
      </c>
      <c r="T638" t="str">
        <f t="shared" si="48"/>
        <v>Ne</v>
      </c>
      <c r="U638" t="str">
        <f t="shared" si="45"/>
        <v xml:space="preserve"> Hicks</v>
      </c>
      <c r="V638" t="str">
        <f t="shared" si="49"/>
        <v>37</v>
      </c>
    </row>
    <row r="639" spans="1:22" x14ac:dyDescent="0.3">
      <c r="A639" s="1" t="s">
        <v>1365</v>
      </c>
      <c r="B639" s="1" t="s">
        <v>1366</v>
      </c>
      <c r="C639" s="1" t="s">
        <v>24</v>
      </c>
      <c r="D639">
        <v>46</v>
      </c>
      <c r="E639" s="1" t="s">
        <v>25</v>
      </c>
      <c r="F639" s="1" t="s">
        <v>26</v>
      </c>
      <c r="G639" s="1" t="s">
        <v>87</v>
      </c>
      <c r="H639">
        <v>25</v>
      </c>
      <c r="I639" t="s">
        <v>238</v>
      </c>
      <c r="J639">
        <v>1.3</v>
      </c>
      <c r="K639" t="s">
        <v>168</v>
      </c>
      <c r="L639">
        <v>0.8</v>
      </c>
      <c r="M639" s="1" t="s">
        <v>20</v>
      </c>
      <c r="N639" s="1" t="s">
        <v>65</v>
      </c>
      <c r="O639">
        <v>18</v>
      </c>
      <c r="P639">
        <v>5</v>
      </c>
      <c r="Q639" t="str">
        <f t="shared" si="46"/>
        <v>ALISON CLARK</v>
      </c>
      <c r="R639" t="str">
        <f t="shared" si="47"/>
        <v>australia</v>
      </c>
      <c r="S639" t="str">
        <f>PROPER(global_freelancer_raw[[#This Row],[NAME UPPER]])</f>
        <v>Alison Clark</v>
      </c>
      <c r="T639" t="str">
        <f t="shared" si="48"/>
        <v>Au</v>
      </c>
      <c r="U639" t="str">
        <f t="shared" si="45"/>
        <v>on Cla</v>
      </c>
      <c r="V639" t="str">
        <f t="shared" si="49"/>
        <v>38</v>
      </c>
    </row>
    <row r="640" spans="1:22" x14ac:dyDescent="0.3">
      <c r="A640" s="1" t="s">
        <v>1367</v>
      </c>
      <c r="B640" s="1" t="s">
        <v>1368</v>
      </c>
      <c r="C640" s="1" t="s">
        <v>101</v>
      </c>
      <c r="D640">
        <v>57</v>
      </c>
      <c r="E640" s="1" t="s">
        <v>188</v>
      </c>
      <c r="F640" s="1" t="s">
        <v>81</v>
      </c>
      <c r="G640" s="1" t="s">
        <v>27</v>
      </c>
      <c r="H640">
        <v>18</v>
      </c>
      <c r="I640" t="s">
        <v>118</v>
      </c>
      <c r="J640">
        <v>1.1000000000000001</v>
      </c>
      <c r="K640" t="b">
        <v>0</v>
      </c>
      <c r="L640">
        <v>0.9</v>
      </c>
      <c r="M640" s="1" t="s">
        <v>77</v>
      </c>
      <c r="N640" s="1" t="s">
        <v>65</v>
      </c>
      <c r="O640">
        <v>13</v>
      </c>
      <c r="P640">
        <v>6</v>
      </c>
      <c r="Q640" t="str">
        <f t="shared" si="46"/>
        <v>ANDREW BARNES</v>
      </c>
      <c r="R640" t="str">
        <f t="shared" si="47"/>
        <v>mexico</v>
      </c>
      <c r="S640" t="str">
        <f>PROPER(global_freelancer_raw[[#This Row],[NAME UPPER]])</f>
        <v>Andrew Barnes</v>
      </c>
      <c r="T640" t="str">
        <f t="shared" si="48"/>
        <v>Me</v>
      </c>
      <c r="U640" t="str">
        <f t="shared" si="45"/>
        <v>ew Bar</v>
      </c>
      <c r="V640" t="str">
        <f t="shared" si="49"/>
        <v>39</v>
      </c>
    </row>
    <row r="641" spans="1:22" x14ac:dyDescent="0.3">
      <c r="A641" s="1" t="s">
        <v>1369</v>
      </c>
      <c r="B641" s="1" t="s">
        <v>1370</v>
      </c>
      <c r="C641" s="1" t="s">
        <v>39</v>
      </c>
      <c r="D641">
        <v>49</v>
      </c>
      <c r="E641" s="1" t="s">
        <v>188</v>
      </c>
      <c r="F641" s="1" t="s">
        <v>81</v>
      </c>
      <c r="G641" s="1" t="s">
        <v>40</v>
      </c>
      <c r="H641">
        <v>24</v>
      </c>
      <c r="I641" t="s">
        <v>71</v>
      </c>
      <c r="J641">
        <v>0</v>
      </c>
      <c r="K641">
        <v>0</v>
      </c>
      <c r="L641">
        <v>0.94</v>
      </c>
      <c r="M641" s="1" t="s">
        <v>51</v>
      </c>
      <c r="N641" s="1" t="s">
        <v>65</v>
      </c>
      <c r="O641">
        <v>14</v>
      </c>
      <c r="P641">
        <v>8</v>
      </c>
      <c r="Q641" t="str">
        <f t="shared" si="46"/>
        <v>GINA SNYDER</v>
      </c>
      <c r="R641" t="str">
        <f t="shared" si="47"/>
        <v>mexico</v>
      </c>
      <c r="S641" t="str">
        <f>PROPER(global_freelancer_raw[[#This Row],[NAME UPPER]])</f>
        <v>Gina Snyder</v>
      </c>
      <c r="T641" t="str">
        <f t="shared" si="48"/>
        <v>Me</v>
      </c>
      <c r="U641" t="str">
        <f t="shared" si="45"/>
        <v xml:space="preserve"> Snyde</v>
      </c>
      <c r="V641" t="str">
        <f t="shared" si="49"/>
        <v>40</v>
      </c>
    </row>
    <row r="642" spans="1:22" x14ac:dyDescent="0.3">
      <c r="A642" s="1" t="s">
        <v>1371</v>
      </c>
      <c r="B642" s="1" t="s">
        <v>1372</v>
      </c>
      <c r="C642" s="1" t="s">
        <v>68</v>
      </c>
      <c r="D642">
        <v>41</v>
      </c>
      <c r="E642" s="1" t="s">
        <v>94</v>
      </c>
      <c r="F642" s="1" t="s">
        <v>95</v>
      </c>
      <c r="G642" s="1" t="s">
        <v>49</v>
      </c>
      <c r="H642">
        <v>7</v>
      </c>
      <c r="I642">
        <v>40</v>
      </c>
      <c r="J642">
        <v>1.8</v>
      </c>
      <c r="K642" t="b">
        <v>0</v>
      </c>
      <c r="L642">
        <v>0.7</v>
      </c>
      <c r="M642" s="1" t="s">
        <v>77</v>
      </c>
      <c r="N642" s="1" t="s">
        <v>21</v>
      </c>
      <c r="O642">
        <v>14</v>
      </c>
      <c r="P642">
        <v>6</v>
      </c>
      <c r="Q642" t="str">
        <f t="shared" si="46"/>
        <v>DAVID WATSON</v>
      </c>
      <c r="R642" t="str">
        <f t="shared" si="47"/>
        <v>japan</v>
      </c>
      <c r="S642" t="str">
        <f>PROPER(global_freelancer_raw[[#This Row],[NAME UPPER]])</f>
        <v>David Watson</v>
      </c>
      <c r="T642" t="str">
        <f t="shared" si="48"/>
        <v>Ja</v>
      </c>
      <c r="U642" t="str">
        <f t="shared" ref="U642:U705" si="50">MID(B642,5,6)</f>
        <v>d Wats</v>
      </c>
      <c r="V642" t="str">
        <f t="shared" si="49"/>
        <v>41</v>
      </c>
    </row>
    <row r="643" spans="1:22" x14ac:dyDescent="0.3">
      <c r="A643" s="1" t="s">
        <v>1373</v>
      </c>
      <c r="B643" s="1" t="s">
        <v>1374</v>
      </c>
      <c r="C643" s="1" t="s">
        <v>32</v>
      </c>
      <c r="D643">
        <v>22</v>
      </c>
      <c r="E643" s="1" t="s">
        <v>188</v>
      </c>
      <c r="F643" s="1" t="s">
        <v>81</v>
      </c>
      <c r="G643" s="1" t="s">
        <v>123</v>
      </c>
      <c r="H643">
        <v>1</v>
      </c>
      <c r="I643" t="s">
        <v>323</v>
      </c>
      <c r="K643" t="s">
        <v>76</v>
      </c>
      <c r="L643">
        <v>0.75</v>
      </c>
      <c r="M643" s="1" t="s">
        <v>72</v>
      </c>
      <c r="N643" s="1" t="s">
        <v>29</v>
      </c>
      <c r="O643">
        <v>1</v>
      </c>
      <c r="P643">
        <v>1</v>
      </c>
      <c r="Q643" t="str">
        <f t="shared" ref="Q643:Q706" si="51">UPPER(B643)</f>
        <v>JOHN DAVIS</v>
      </c>
      <c r="R643" t="str">
        <f t="shared" ref="R643:R706" si="52">LOWER(E643)</f>
        <v>mexico</v>
      </c>
      <c r="S643" t="str">
        <f>PROPER(global_freelancer_raw[[#This Row],[NAME UPPER]])</f>
        <v>John Davis</v>
      </c>
      <c r="T643" t="str">
        <f t="shared" ref="T643:T706" si="53">LEFT(E643,"2")</f>
        <v>Me</v>
      </c>
      <c r="U643" t="str">
        <f t="shared" si="50"/>
        <v xml:space="preserve"> Davis</v>
      </c>
      <c r="V643" t="str">
        <f t="shared" ref="V643:V706" si="54">RIGHT(A643,"2")</f>
        <v>42</v>
      </c>
    </row>
    <row r="644" spans="1:22" x14ac:dyDescent="0.3">
      <c r="A644" s="1" t="s">
        <v>1375</v>
      </c>
      <c r="B644" s="1" t="s">
        <v>1376</v>
      </c>
      <c r="C644" s="1" t="s">
        <v>32</v>
      </c>
      <c r="D644">
        <v>50</v>
      </c>
      <c r="E644" s="1" t="s">
        <v>25</v>
      </c>
      <c r="F644" s="1" t="s">
        <v>26</v>
      </c>
      <c r="G644" s="1" t="s">
        <v>19</v>
      </c>
      <c r="H644">
        <v>17</v>
      </c>
      <c r="I644">
        <v>75</v>
      </c>
      <c r="J644">
        <v>3.3</v>
      </c>
      <c r="K644">
        <v>1</v>
      </c>
      <c r="L644">
        <v>0.69</v>
      </c>
      <c r="M644" s="1" t="s">
        <v>51</v>
      </c>
      <c r="N644" s="1" t="s">
        <v>65</v>
      </c>
      <c r="O644">
        <v>15</v>
      </c>
      <c r="P644">
        <v>9</v>
      </c>
      <c r="Q644" t="str">
        <f t="shared" si="51"/>
        <v>JOSEPH THOMAS</v>
      </c>
      <c r="R644" t="str">
        <f t="shared" si="52"/>
        <v>australia</v>
      </c>
      <c r="S644" t="str">
        <f>PROPER(global_freelancer_raw[[#This Row],[NAME UPPER]])</f>
        <v>Joseph Thomas</v>
      </c>
      <c r="T644" t="str">
        <f t="shared" si="53"/>
        <v>Au</v>
      </c>
      <c r="U644" t="str">
        <f t="shared" si="50"/>
        <v>ph Tho</v>
      </c>
      <c r="V644" t="str">
        <f t="shared" si="54"/>
        <v>43</v>
      </c>
    </row>
    <row r="645" spans="1:22" x14ac:dyDescent="0.3">
      <c r="A645" s="1" t="s">
        <v>1377</v>
      </c>
      <c r="B645" s="1" t="s">
        <v>1378</v>
      </c>
      <c r="C645" s="1" t="s">
        <v>32</v>
      </c>
      <c r="D645">
        <v>57</v>
      </c>
      <c r="E645" s="1" t="s">
        <v>33</v>
      </c>
      <c r="F645" s="1" t="s">
        <v>33</v>
      </c>
      <c r="G645" s="1" t="s">
        <v>34</v>
      </c>
      <c r="H645">
        <v>4</v>
      </c>
      <c r="I645" t="s">
        <v>118</v>
      </c>
      <c r="J645">
        <v>4.2</v>
      </c>
      <c r="K645">
        <v>0</v>
      </c>
      <c r="M645" s="1" t="s">
        <v>20</v>
      </c>
      <c r="N645" s="1" t="s">
        <v>65</v>
      </c>
      <c r="O645">
        <v>5</v>
      </c>
      <c r="P645">
        <v>2</v>
      </c>
      <c r="Q645" t="str">
        <f t="shared" si="51"/>
        <v>DEAN FINLEY</v>
      </c>
      <c r="R645" t="str">
        <f t="shared" si="52"/>
        <v>germany</v>
      </c>
      <c r="S645" t="str">
        <f>PROPER(global_freelancer_raw[[#This Row],[NAME UPPER]])</f>
        <v>Dean Finley</v>
      </c>
      <c r="T645" t="str">
        <f t="shared" si="53"/>
        <v>Ge</v>
      </c>
      <c r="U645" t="str">
        <f t="shared" si="50"/>
        <v xml:space="preserve"> Finle</v>
      </c>
      <c r="V645" t="str">
        <f t="shared" si="54"/>
        <v>44</v>
      </c>
    </row>
    <row r="646" spans="1:22" x14ac:dyDescent="0.3">
      <c r="A646" s="1" t="s">
        <v>1379</v>
      </c>
      <c r="B646" s="1" t="s">
        <v>1380</v>
      </c>
      <c r="C646" s="1" t="s">
        <v>24</v>
      </c>
      <c r="D646">
        <v>47</v>
      </c>
      <c r="E646" s="1" t="s">
        <v>188</v>
      </c>
      <c r="F646" s="1" t="s">
        <v>81</v>
      </c>
      <c r="G646" s="1" t="s">
        <v>49</v>
      </c>
      <c r="H646">
        <v>29</v>
      </c>
      <c r="I646" t="s">
        <v>71</v>
      </c>
      <c r="K646">
        <v>1</v>
      </c>
      <c r="L646">
        <v>0.79</v>
      </c>
      <c r="M646" s="1" t="s">
        <v>72</v>
      </c>
      <c r="N646" s="1" t="s">
        <v>36</v>
      </c>
      <c r="O646">
        <v>14</v>
      </c>
      <c r="P646">
        <v>5</v>
      </c>
      <c r="Q646" t="str">
        <f t="shared" si="51"/>
        <v>ASHLEY KEMP</v>
      </c>
      <c r="R646" t="str">
        <f t="shared" si="52"/>
        <v>mexico</v>
      </c>
      <c r="S646" t="str">
        <f>PROPER(global_freelancer_raw[[#This Row],[NAME UPPER]])</f>
        <v>Ashley Kemp</v>
      </c>
      <c r="T646" t="str">
        <f t="shared" si="53"/>
        <v>Me</v>
      </c>
      <c r="U646" t="str">
        <f t="shared" si="50"/>
        <v>ey Kem</v>
      </c>
      <c r="V646" t="str">
        <f t="shared" si="54"/>
        <v>45</v>
      </c>
    </row>
    <row r="647" spans="1:22" x14ac:dyDescent="0.3">
      <c r="A647" s="1" t="s">
        <v>1381</v>
      </c>
      <c r="B647" s="1" t="s">
        <v>1382</v>
      </c>
      <c r="C647" s="1" t="s">
        <v>101</v>
      </c>
      <c r="D647">
        <v>24</v>
      </c>
      <c r="E647" s="1" t="s">
        <v>162</v>
      </c>
      <c r="F647" s="1" t="s">
        <v>163</v>
      </c>
      <c r="G647" s="1" t="s">
        <v>57</v>
      </c>
      <c r="H647">
        <v>2</v>
      </c>
      <c r="I647" t="s">
        <v>238</v>
      </c>
      <c r="J647">
        <v>3.8</v>
      </c>
      <c r="K647">
        <v>1</v>
      </c>
      <c r="L647">
        <v>0.71</v>
      </c>
      <c r="M647" s="1" t="s">
        <v>72</v>
      </c>
      <c r="N647" s="1" t="s">
        <v>21</v>
      </c>
      <c r="O647">
        <v>5</v>
      </c>
      <c r="P647">
        <v>1</v>
      </c>
      <c r="Q647" t="str">
        <f t="shared" si="51"/>
        <v>KENNETH EVANS</v>
      </c>
      <c r="R647" t="str">
        <f t="shared" si="52"/>
        <v>south africa</v>
      </c>
      <c r="S647" t="str">
        <f>PROPER(global_freelancer_raw[[#This Row],[NAME UPPER]])</f>
        <v>Kenneth Evans</v>
      </c>
      <c r="T647" t="str">
        <f t="shared" si="53"/>
        <v>So</v>
      </c>
      <c r="U647" t="str">
        <f t="shared" si="50"/>
        <v>eth Ev</v>
      </c>
      <c r="V647" t="str">
        <f t="shared" si="54"/>
        <v>46</v>
      </c>
    </row>
    <row r="648" spans="1:22" x14ac:dyDescent="0.3">
      <c r="A648" s="1" t="s">
        <v>1383</v>
      </c>
      <c r="B648" s="1" t="s">
        <v>1384</v>
      </c>
      <c r="C648" s="1" t="s">
        <v>32</v>
      </c>
      <c r="E648" s="1" t="s">
        <v>102</v>
      </c>
      <c r="F648" s="1" t="s">
        <v>103</v>
      </c>
      <c r="G648" s="1" t="s">
        <v>87</v>
      </c>
      <c r="H648">
        <v>9</v>
      </c>
      <c r="I648">
        <v>100</v>
      </c>
      <c r="J648">
        <v>4.8</v>
      </c>
      <c r="K648" t="s">
        <v>83</v>
      </c>
      <c r="L648">
        <v>0.72</v>
      </c>
      <c r="M648" s="1" t="s">
        <v>20</v>
      </c>
      <c r="N648" s="1" t="s">
        <v>65</v>
      </c>
      <c r="O648">
        <v>12</v>
      </c>
      <c r="P648">
        <v>10</v>
      </c>
      <c r="Q648" t="str">
        <f t="shared" si="51"/>
        <v>BRANDON NEWMAN</v>
      </c>
      <c r="R648" t="str">
        <f t="shared" si="52"/>
        <v>india</v>
      </c>
      <c r="S648" t="str">
        <f>PROPER(global_freelancer_raw[[#This Row],[NAME UPPER]])</f>
        <v>Brandon Newman</v>
      </c>
      <c r="T648" t="str">
        <f t="shared" si="53"/>
        <v>In</v>
      </c>
      <c r="U648" t="str">
        <f t="shared" si="50"/>
        <v>don Ne</v>
      </c>
      <c r="V648" t="str">
        <f t="shared" si="54"/>
        <v>47</v>
      </c>
    </row>
    <row r="649" spans="1:22" x14ac:dyDescent="0.3">
      <c r="A649" s="1" t="s">
        <v>1385</v>
      </c>
      <c r="B649" s="1" t="s">
        <v>1386</v>
      </c>
      <c r="C649" s="1" t="s">
        <v>24</v>
      </c>
      <c r="D649">
        <v>50</v>
      </c>
      <c r="E649" s="1" t="s">
        <v>33</v>
      </c>
      <c r="F649" s="1" t="s">
        <v>33</v>
      </c>
      <c r="G649" s="1" t="s">
        <v>98</v>
      </c>
      <c r="H649">
        <v>10</v>
      </c>
      <c r="I649" t="s">
        <v>238</v>
      </c>
      <c r="J649">
        <v>4.3</v>
      </c>
      <c r="K649" t="s">
        <v>35</v>
      </c>
      <c r="L649">
        <v>0.93</v>
      </c>
      <c r="M649" s="1" t="s">
        <v>51</v>
      </c>
      <c r="N649" s="1" t="s">
        <v>21</v>
      </c>
      <c r="O649">
        <v>8</v>
      </c>
      <c r="P649">
        <v>5</v>
      </c>
      <c r="Q649" t="str">
        <f t="shared" si="51"/>
        <v>KATIE HENSLEY</v>
      </c>
      <c r="R649" t="str">
        <f t="shared" si="52"/>
        <v>germany</v>
      </c>
      <c r="S649" t="str">
        <f>PROPER(global_freelancer_raw[[#This Row],[NAME UPPER]])</f>
        <v>Katie Hensley</v>
      </c>
      <c r="T649" t="str">
        <f t="shared" si="53"/>
        <v>Ge</v>
      </c>
      <c r="U649" t="str">
        <f t="shared" si="50"/>
        <v>e Hens</v>
      </c>
      <c r="V649" t="str">
        <f t="shared" si="54"/>
        <v>48</v>
      </c>
    </row>
    <row r="650" spans="1:22" x14ac:dyDescent="0.3">
      <c r="A650" s="1" t="s">
        <v>1387</v>
      </c>
      <c r="B650" s="1" t="s">
        <v>1388</v>
      </c>
      <c r="C650" s="1" t="s">
        <v>101</v>
      </c>
      <c r="D650">
        <v>46</v>
      </c>
      <c r="E650" s="1" t="s">
        <v>116</v>
      </c>
      <c r="F650" s="1" t="s">
        <v>117</v>
      </c>
      <c r="G650" s="1" t="s">
        <v>123</v>
      </c>
      <c r="H650">
        <v>20</v>
      </c>
      <c r="J650">
        <v>4.8</v>
      </c>
      <c r="K650">
        <v>1</v>
      </c>
      <c r="L650">
        <v>0.82</v>
      </c>
      <c r="M650" s="1" t="s">
        <v>51</v>
      </c>
      <c r="N650" s="1" t="s">
        <v>65</v>
      </c>
      <c r="O650">
        <v>10</v>
      </c>
      <c r="P650">
        <v>9</v>
      </c>
      <c r="Q650" t="str">
        <f t="shared" si="51"/>
        <v>JOEL RANDOLPH</v>
      </c>
      <c r="R650" t="str">
        <f t="shared" si="52"/>
        <v>brazil</v>
      </c>
      <c r="S650" t="str">
        <f>PROPER(global_freelancer_raw[[#This Row],[NAME UPPER]])</f>
        <v>Joel Randolph</v>
      </c>
      <c r="T650" t="str">
        <f t="shared" si="53"/>
        <v>Br</v>
      </c>
      <c r="U650" t="str">
        <f t="shared" si="50"/>
        <v xml:space="preserve"> Rando</v>
      </c>
      <c r="V650" t="str">
        <f t="shared" si="54"/>
        <v>49</v>
      </c>
    </row>
    <row r="651" spans="1:22" x14ac:dyDescent="0.3">
      <c r="A651" s="1" t="s">
        <v>1389</v>
      </c>
      <c r="B651" s="1" t="s">
        <v>1390</v>
      </c>
      <c r="C651" s="1" t="s">
        <v>32</v>
      </c>
      <c r="D651">
        <v>51</v>
      </c>
      <c r="E651" s="1" t="s">
        <v>25</v>
      </c>
      <c r="F651" s="1" t="s">
        <v>26</v>
      </c>
      <c r="G651" s="1" t="s">
        <v>87</v>
      </c>
      <c r="H651">
        <v>9</v>
      </c>
      <c r="I651" t="s">
        <v>41</v>
      </c>
      <c r="K651" t="s">
        <v>35</v>
      </c>
      <c r="L651">
        <v>60</v>
      </c>
      <c r="M651" s="1" t="s">
        <v>72</v>
      </c>
      <c r="N651" s="1" t="s">
        <v>29</v>
      </c>
      <c r="O651">
        <v>12</v>
      </c>
      <c r="P651">
        <v>5</v>
      </c>
      <c r="Q651" t="str">
        <f t="shared" si="51"/>
        <v>ANDREW SCOTT</v>
      </c>
      <c r="R651" t="str">
        <f t="shared" si="52"/>
        <v>australia</v>
      </c>
      <c r="S651" t="str">
        <f>PROPER(global_freelancer_raw[[#This Row],[NAME UPPER]])</f>
        <v>Andrew Scott</v>
      </c>
      <c r="T651" t="str">
        <f t="shared" si="53"/>
        <v>Au</v>
      </c>
      <c r="U651" t="str">
        <f t="shared" si="50"/>
        <v>ew Sco</v>
      </c>
      <c r="V651" t="str">
        <f t="shared" si="54"/>
        <v>50</v>
      </c>
    </row>
    <row r="652" spans="1:22" x14ac:dyDescent="0.3">
      <c r="A652" s="1" t="s">
        <v>1391</v>
      </c>
      <c r="B652" s="1" t="s">
        <v>1392</v>
      </c>
      <c r="C652" s="1" t="s">
        <v>68</v>
      </c>
      <c r="D652">
        <v>51</v>
      </c>
      <c r="E652" s="1" t="s">
        <v>75</v>
      </c>
      <c r="F652" s="1" t="s">
        <v>26</v>
      </c>
      <c r="G652" s="1" t="s">
        <v>49</v>
      </c>
      <c r="H652">
        <v>12</v>
      </c>
      <c r="I652">
        <v>20</v>
      </c>
      <c r="J652">
        <v>4</v>
      </c>
      <c r="K652">
        <v>0</v>
      </c>
      <c r="L652">
        <v>93</v>
      </c>
      <c r="M652" s="1" t="s">
        <v>51</v>
      </c>
      <c r="N652" s="1" t="s">
        <v>29</v>
      </c>
      <c r="O652">
        <v>15</v>
      </c>
      <c r="P652">
        <v>3</v>
      </c>
      <c r="Q652" t="str">
        <f t="shared" si="51"/>
        <v>ZACHARY OCHOA</v>
      </c>
      <c r="R652" t="str">
        <f t="shared" si="52"/>
        <v>uk</v>
      </c>
      <c r="S652" t="str">
        <f>PROPER(global_freelancer_raw[[#This Row],[NAME UPPER]])</f>
        <v>Zachary Ochoa</v>
      </c>
      <c r="T652" t="str">
        <f t="shared" si="53"/>
        <v>UK</v>
      </c>
      <c r="U652" t="str">
        <f t="shared" si="50"/>
        <v>ary Oc</v>
      </c>
      <c r="V652" t="str">
        <f t="shared" si="54"/>
        <v>51</v>
      </c>
    </row>
    <row r="653" spans="1:22" x14ac:dyDescent="0.3">
      <c r="A653" s="1" t="s">
        <v>1393</v>
      </c>
      <c r="B653" s="1" t="s">
        <v>1394</v>
      </c>
      <c r="C653" s="1" t="s">
        <v>54</v>
      </c>
      <c r="D653">
        <v>27</v>
      </c>
      <c r="E653" s="1" t="s">
        <v>75</v>
      </c>
      <c r="F653" s="1" t="s">
        <v>26</v>
      </c>
      <c r="G653" s="1" t="s">
        <v>49</v>
      </c>
      <c r="H653">
        <v>3</v>
      </c>
      <c r="I653" t="s">
        <v>107</v>
      </c>
      <c r="K653" t="b">
        <v>0</v>
      </c>
      <c r="M653" s="1" t="s">
        <v>77</v>
      </c>
      <c r="N653" s="1" t="s">
        <v>65</v>
      </c>
      <c r="O653">
        <v>1</v>
      </c>
      <c r="P653">
        <v>3</v>
      </c>
      <c r="Q653" t="str">
        <f t="shared" si="51"/>
        <v>JOHN ARROYO</v>
      </c>
      <c r="R653" t="str">
        <f t="shared" si="52"/>
        <v>uk</v>
      </c>
      <c r="S653" t="str">
        <f>PROPER(global_freelancer_raw[[#This Row],[NAME UPPER]])</f>
        <v>John Arroyo</v>
      </c>
      <c r="T653" t="str">
        <f t="shared" si="53"/>
        <v>UK</v>
      </c>
      <c r="U653" t="str">
        <f t="shared" si="50"/>
        <v xml:space="preserve"> Arroy</v>
      </c>
      <c r="V653" t="str">
        <f t="shared" si="54"/>
        <v>52</v>
      </c>
    </row>
    <row r="654" spans="1:22" x14ac:dyDescent="0.3">
      <c r="A654" s="1" t="s">
        <v>1395</v>
      </c>
      <c r="B654" s="1" t="s">
        <v>1396</v>
      </c>
      <c r="C654" s="1" t="s">
        <v>68</v>
      </c>
      <c r="D654">
        <v>42</v>
      </c>
      <c r="E654" s="1" t="s">
        <v>199</v>
      </c>
      <c r="F654" s="1" t="s">
        <v>81</v>
      </c>
      <c r="G654" s="1" t="s">
        <v>40</v>
      </c>
      <c r="H654">
        <v>13</v>
      </c>
      <c r="I654">
        <v>30</v>
      </c>
      <c r="J654">
        <v>0</v>
      </c>
      <c r="K654" t="b">
        <v>0</v>
      </c>
      <c r="L654">
        <v>0.74</v>
      </c>
      <c r="M654" s="1" t="s">
        <v>20</v>
      </c>
      <c r="N654" s="1" t="s">
        <v>29</v>
      </c>
      <c r="O654">
        <v>12</v>
      </c>
      <c r="P654">
        <v>8</v>
      </c>
      <c r="Q654" t="str">
        <f t="shared" si="51"/>
        <v>MATTHEW FERNANDEZ</v>
      </c>
      <c r="R654" t="str">
        <f t="shared" si="52"/>
        <v>spain</v>
      </c>
      <c r="S654" t="str">
        <f>PROPER(global_freelancer_raw[[#This Row],[NAME UPPER]])</f>
        <v>Matthew Fernandez</v>
      </c>
      <c r="T654" t="str">
        <f t="shared" si="53"/>
        <v>Sp</v>
      </c>
      <c r="U654" t="str">
        <f t="shared" si="50"/>
        <v>hew Fe</v>
      </c>
      <c r="V654" t="str">
        <f t="shared" si="54"/>
        <v>53</v>
      </c>
    </row>
    <row r="655" spans="1:22" x14ac:dyDescent="0.3">
      <c r="A655" s="1" t="s">
        <v>1397</v>
      </c>
      <c r="B655" s="1" t="s">
        <v>1398</v>
      </c>
      <c r="C655" s="1" t="s">
        <v>68</v>
      </c>
      <c r="D655">
        <v>25</v>
      </c>
      <c r="E655" s="1" t="s">
        <v>33</v>
      </c>
      <c r="F655" s="1" t="s">
        <v>33</v>
      </c>
      <c r="G655" s="1" t="s">
        <v>82</v>
      </c>
      <c r="H655">
        <v>4</v>
      </c>
      <c r="I655" t="s">
        <v>41</v>
      </c>
      <c r="J655">
        <v>2.2999999999999998</v>
      </c>
      <c r="K655" t="s">
        <v>76</v>
      </c>
      <c r="L655">
        <v>73</v>
      </c>
      <c r="M655" s="1" t="s">
        <v>77</v>
      </c>
      <c r="N655" s="1" t="s">
        <v>65</v>
      </c>
      <c r="O655">
        <v>1</v>
      </c>
      <c r="P655">
        <v>1</v>
      </c>
      <c r="Q655" t="str">
        <f t="shared" si="51"/>
        <v>BENJAMIN STARK</v>
      </c>
      <c r="R655" t="str">
        <f t="shared" si="52"/>
        <v>germany</v>
      </c>
      <c r="S655" t="str">
        <f>PROPER(global_freelancer_raw[[#This Row],[NAME UPPER]])</f>
        <v>Benjamin Stark</v>
      </c>
      <c r="T655" t="str">
        <f t="shared" si="53"/>
        <v>Ge</v>
      </c>
      <c r="U655" t="str">
        <f t="shared" si="50"/>
        <v>amin S</v>
      </c>
      <c r="V655" t="str">
        <f t="shared" si="54"/>
        <v>54</v>
      </c>
    </row>
    <row r="656" spans="1:22" x14ac:dyDescent="0.3">
      <c r="A656" s="1" t="s">
        <v>1399</v>
      </c>
      <c r="B656" s="1" t="s">
        <v>1400</v>
      </c>
      <c r="C656" s="1" t="s">
        <v>86</v>
      </c>
      <c r="D656">
        <v>32</v>
      </c>
      <c r="E656" s="1" t="s">
        <v>33</v>
      </c>
      <c r="F656" s="1" t="s">
        <v>33</v>
      </c>
      <c r="G656" s="1" t="s">
        <v>57</v>
      </c>
      <c r="H656">
        <v>9</v>
      </c>
      <c r="I656">
        <v>75</v>
      </c>
      <c r="K656" t="s">
        <v>35</v>
      </c>
      <c r="L656">
        <v>0.96</v>
      </c>
      <c r="M656" s="1" t="s">
        <v>51</v>
      </c>
      <c r="N656" s="1" t="s">
        <v>29</v>
      </c>
      <c r="O656">
        <v>11</v>
      </c>
      <c r="P656">
        <v>5</v>
      </c>
      <c r="Q656" t="str">
        <f t="shared" si="51"/>
        <v>TAMMY GREER</v>
      </c>
      <c r="R656" t="str">
        <f t="shared" si="52"/>
        <v>germany</v>
      </c>
      <c r="S656" t="str">
        <f>PROPER(global_freelancer_raw[[#This Row],[NAME UPPER]])</f>
        <v>Tammy Greer</v>
      </c>
      <c r="T656" t="str">
        <f t="shared" si="53"/>
        <v>Ge</v>
      </c>
      <c r="U656" t="str">
        <f t="shared" si="50"/>
        <v>y Gree</v>
      </c>
      <c r="V656" t="str">
        <f t="shared" si="54"/>
        <v>55</v>
      </c>
    </row>
    <row r="657" spans="1:22" x14ac:dyDescent="0.3">
      <c r="A657" s="1" t="s">
        <v>1401</v>
      </c>
      <c r="B657" s="1" t="s">
        <v>1402</v>
      </c>
      <c r="C657" s="1" t="s">
        <v>44</v>
      </c>
      <c r="D657">
        <v>59</v>
      </c>
      <c r="E657" s="1" t="s">
        <v>137</v>
      </c>
      <c r="F657" s="1" t="s">
        <v>26</v>
      </c>
      <c r="G657" s="1" t="s">
        <v>34</v>
      </c>
      <c r="H657">
        <v>14</v>
      </c>
      <c r="I657">
        <v>30</v>
      </c>
      <c r="J657">
        <v>3.8</v>
      </c>
      <c r="L657">
        <v>0.66</v>
      </c>
      <c r="M657" s="1" t="s">
        <v>72</v>
      </c>
      <c r="N657" s="1" t="s">
        <v>36</v>
      </c>
      <c r="O657">
        <v>8</v>
      </c>
      <c r="P657">
        <v>8</v>
      </c>
      <c r="Q657" t="str">
        <f t="shared" si="51"/>
        <v>CYNTHIA MCKINNEY</v>
      </c>
      <c r="R657" t="str">
        <f t="shared" si="52"/>
        <v>canada</v>
      </c>
      <c r="S657" t="str">
        <f>PROPER(global_freelancer_raw[[#This Row],[NAME UPPER]])</f>
        <v>Cynthia Mckinney</v>
      </c>
      <c r="T657" t="str">
        <f t="shared" si="53"/>
        <v>Ca</v>
      </c>
      <c r="U657" t="str">
        <f t="shared" si="50"/>
        <v>hia Mc</v>
      </c>
      <c r="V657" t="str">
        <f t="shared" si="54"/>
        <v>56</v>
      </c>
    </row>
    <row r="658" spans="1:22" x14ac:dyDescent="0.3">
      <c r="A658" s="1" t="s">
        <v>1403</v>
      </c>
      <c r="B658" s="1" t="s">
        <v>1404</v>
      </c>
      <c r="C658" s="1" t="s">
        <v>24</v>
      </c>
      <c r="D658">
        <v>59</v>
      </c>
      <c r="E658" s="1" t="s">
        <v>144</v>
      </c>
      <c r="F658" s="1" t="s">
        <v>145</v>
      </c>
      <c r="G658" s="1" t="s">
        <v>87</v>
      </c>
      <c r="H658">
        <v>37</v>
      </c>
      <c r="I658">
        <v>30</v>
      </c>
      <c r="J658">
        <v>4</v>
      </c>
      <c r="K658" t="b">
        <v>0</v>
      </c>
      <c r="L658">
        <v>0.62</v>
      </c>
      <c r="M658" s="1" t="s">
        <v>20</v>
      </c>
      <c r="N658" s="1" t="s">
        <v>36</v>
      </c>
      <c r="O658">
        <v>20</v>
      </c>
      <c r="P658">
        <v>2</v>
      </c>
      <c r="Q658" t="str">
        <f t="shared" si="51"/>
        <v>WENDY RICE</v>
      </c>
      <c r="R658" t="str">
        <f t="shared" si="52"/>
        <v>france</v>
      </c>
      <c r="S658" t="str">
        <f>PROPER(global_freelancer_raw[[#This Row],[NAME UPPER]])</f>
        <v>Wendy Rice</v>
      </c>
      <c r="T658" t="str">
        <f t="shared" si="53"/>
        <v>Fr</v>
      </c>
      <c r="U658" t="str">
        <f t="shared" si="50"/>
        <v>y Rice</v>
      </c>
      <c r="V658" t="str">
        <f t="shared" si="54"/>
        <v>57</v>
      </c>
    </row>
    <row r="659" spans="1:22" x14ac:dyDescent="0.3">
      <c r="A659" s="1" t="s">
        <v>1405</v>
      </c>
      <c r="B659" s="1" t="s">
        <v>1406</v>
      </c>
      <c r="C659" s="1" t="s">
        <v>106</v>
      </c>
      <c r="D659">
        <v>29</v>
      </c>
      <c r="E659" s="1" t="s">
        <v>33</v>
      </c>
      <c r="F659" s="1" t="s">
        <v>33</v>
      </c>
      <c r="G659" s="1" t="s">
        <v>34</v>
      </c>
      <c r="H659">
        <v>2</v>
      </c>
      <c r="I659" t="s">
        <v>58</v>
      </c>
      <c r="J659">
        <v>2.2000000000000002</v>
      </c>
      <c r="K659" t="s">
        <v>83</v>
      </c>
      <c r="L659">
        <v>0.85</v>
      </c>
      <c r="M659" s="1" t="s">
        <v>51</v>
      </c>
      <c r="N659" s="1" t="s">
        <v>36</v>
      </c>
      <c r="O659">
        <v>5</v>
      </c>
      <c r="P659">
        <v>1</v>
      </c>
      <c r="Q659" t="str">
        <f t="shared" si="51"/>
        <v>RANDY BENDER</v>
      </c>
      <c r="R659" t="str">
        <f t="shared" si="52"/>
        <v>germany</v>
      </c>
      <c r="S659" t="str">
        <f>PROPER(global_freelancer_raw[[#This Row],[NAME UPPER]])</f>
        <v>Randy Bender</v>
      </c>
      <c r="T659" t="str">
        <f t="shared" si="53"/>
        <v>Ge</v>
      </c>
      <c r="U659" t="str">
        <f t="shared" si="50"/>
        <v>y Bend</v>
      </c>
      <c r="V659" t="str">
        <f t="shared" si="54"/>
        <v>58</v>
      </c>
    </row>
    <row r="660" spans="1:22" x14ac:dyDescent="0.3">
      <c r="A660" s="1" t="s">
        <v>1407</v>
      </c>
      <c r="B660" s="1" t="s">
        <v>1408</v>
      </c>
      <c r="C660" s="1" t="s">
        <v>68</v>
      </c>
      <c r="D660">
        <v>58</v>
      </c>
      <c r="E660" s="1" t="s">
        <v>184</v>
      </c>
      <c r="F660" s="1" t="s">
        <v>185</v>
      </c>
      <c r="G660" s="1" t="s">
        <v>49</v>
      </c>
      <c r="H660">
        <v>11</v>
      </c>
      <c r="I660">
        <v>100</v>
      </c>
      <c r="J660">
        <v>4.3</v>
      </c>
      <c r="K660">
        <v>0</v>
      </c>
      <c r="L660">
        <v>0.66</v>
      </c>
      <c r="M660" s="1" t="s">
        <v>51</v>
      </c>
      <c r="N660" s="1" t="s">
        <v>21</v>
      </c>
      <c r="O660">
        <v>6</v>
      </c>
      <c r="P660">
        <v>3</v>
      </c>
      <c r="Q660" t="str">
        <f t="shared" si="51"/>
        <v>RICHARD DOMINGUEZ</v>
      </c>
      <c r="R660" t="str">
        <f t="shared" si="52"/>
        <v>china</v>
      </c>
      <c r="S660" t="str">
        <f>PROPER(global_freelancer_raw[[#This Row],[NAME UPPER]])</f>
        <v>Richard Dominguez</v>
      </c>
      <c r="T660" t="str">
        <f t="shared" si="53"/>
        <v>Ch</v>
      </c>
      <c r="U660" t="str">
        <f t="shared" si="50"/>
        <v>ard Do</v>
      </c>
      <c r="V660" t="str">
        <f t="shared" si="54"/>
        <v>59</v>
      </c>
    </row>
    <row r="661" spans="1:22" x14ac:dyDescent="0.3">
      <c r="A661" s="1" t="s">
        <v>1409</v>
      </c>
      <c r="B661" s="1" t="s">
        <v>1410</v>
      </c>
      <c r="C661" s="1" t="s">
        <v>16</v>
      </c>
      <c r="D661">
        <v>56</v>
      </c>
      <c r="E661" s="1" t="s">
        <v>137</v>
      </c>
      <c r="F661" s="1" t="s">
        <v>26</v>
      </c>
      <c r="G661" s="1" t="s">
        <v>87</v>
      </c>
      <c r="H661">
        <v>19</v>
      </c>
      <c r="I661">
        <v>20</v>
      </c>
      <c r="J661">
        <v>0</v>
      </c>
      <c r="K661">
        <v>0</v>
      </c>
      <c r="L661">
        <v>0.87</v>
      </c>
      <c r="M661" s="1" t="s">
        <v>72</v>
      </c>
      <c r="N661" s="1" t="s">
        <v>21</v>
      </c>
      <c r="O661">
        <v>16</v>
      </c>
      <c r="P661">
        <v>5</v>
      </c>
      <c r="Q661" t="str">
        <f t="shared" si="51"/>
        <v>MELISSA MALDONADO</v>
      </c>
      <c r="R661" t="str">
        <f t="shared" si="52"/>
        <v>canada</v>
      </c>
      <c r="S661" t="str">
        <f>PROPER(global_freelancer_raw[[#This Row],[NAME UPPER]])</f>
        <v>Melissa Maldonado</v>
      </c>
      <c r="T661" t="str">
        <f t="shared" si="53"/>
        <v>Ca</v>
      </c>
      <c r="U661" t="str">
        <f t="shared" si="50"/>
        <v>ssa Ma</v>
      </c>
      <c r="V661" t="str">
        <f t="shared" si="54"/>
        <v>60</v>
      </c>
    </row>
    <row r="662" spans="1:22" x14ac:dyDescent="0.3">
      <c r="A662" s="1" t="s">
        <v>1411</v>
      </c>
      <c r="B662" s="1" t="s">
        <v>1412</v>
      </c>
      <c r="C662" s="1" t="s">
        <v>39</v>
      </c>
      <c r="D662">
        <v>36</v>
      </c>
      <c r="E662" s="1" t="s">
        <v>64</v>
      </c>
      <c r="F662" s="1" t="s">
        <v>26</v>
      </c>
      <c r="G662" s="1" t="s">
        <v>123</v>
      </c>
      <c r="H662">
        <v>9</v>
      </c>
      <c r="I662">
        <v>20</v>
      </c>
      <c r="J662">
        <v>0</v>
      </c>
      <c r="K662">
        <v>1</v>
      </c>
      <c r="L662">
        <v>68</v>
      </c>
      <c r="M662" s="1" t="s">
        <v>72</v>
      </c>
      <c r="N662" s="1" t="s">
        <v>36</v>
      </c>
      <c r="O662">
        <v>9</v>
      </c>
      <c r="P662">
        <v>10</v>
      </c>
      <c r="Q662" t="str">
        <f t="shared" si="51"/>
        <v>LEAH HARRIS</v>
      </c>
      <c r="R662" t="str">
        <f t="shared" si="52"/>
        <v>us</v>
      </c>
      <c r="S662" t="str">
        <f>PROPER(global_freelancer_raw[[#This Row],[NAME UPPER]])</f>
        <v>Leah Harris</v>
      </c>
      <c r="T662" t="str">
        <f t="shared" si="53"/>
        <v>US</v>
      </c>
      <c r="U662" t="str">
        <f t="shared" si="50"/>
        <v xml:space="preserve"> Harri</v>
      </c>
      <c r="V662" t="str">
        <f t="shared" si="54"/>
        <v>61</v>
      </c>
    </row>
    <row r="663" spans="1:22" x14ac:dyDescent="0.3">
      <c r="A663" s="1" t="s">
        <v>1413</v>
      </c>
      <c r="B663" s="1" t="s">
        <v>1414</v>
      </c>
      <c r="C663" s="1" t="s">
        <v>86</v>
      </c>
      <c r="D663">
        <v>52</v>
      </c>
      <c r="E663" s="1" t="s">
        <v>137</v>
      </c>
      <c r="F663" s="1" t="s">
        <v>26</v>
      </c>
      <c r="G663" s="1" t="s">
        <v>82</v>
      </c>
      <c r="H663">
        <v>16</v>
      </c>
      <c r="I663">
        <v>100</v>
      </c>
      <c r="J663">
        <v>4</v>
      </c>
      <c r="K663">
        <v>1</v>
      </c>
      <c r="M663" s="1" t="s">
        <v>77</v>
      </c>
      <c r="N663" s="1" t="s">
        <v>21</v>
      </c>
      <c r="O663">
        <v>10</v>
      </c>
      <c r="P663">
        <v>11</v>
      </c>
      <c r="Q663" t="str">
        <f t="shared" si="51"/>
        <v>LYNN FRENCH</v>
      </c>
      <c r="R663" t="str">
        <f t="shared" si="52"/>
        <v>canada</v>
      </c>
      <c r="S663" t="str">
        <f>PROPER(global_freelancer_raw[[#This Row],[NAME UPPER]])</f>
        <v>Lynn French</v>
      </c>
      <c r="T663" t="str">
        <f t="shared" si="53"/>
        <v>Ca</v>
      </c>
      <c r="U663" t="str">
        <f t="shared" si="50"/>
        <v xml:space="preserve"> Frenc</v>
      </c>
      <c r="V663" t="str">
        <f t="shared" si="54"/>
        <v>62</v>
      </c>
    </row>
    <row r="664" spans="1:22" x14ac:dyDescent="0.3">
      <c r="A664" s="1" t="s">
        <v>1415</v>
      </c>
      <c r="B664" s="1" t="s">
        <v>1416</v>
      </c>
      <c r="C664" s="1" t="s">
        <v>86</v>
      </c>
      <c r="D664">
        <v>42</v>
      </c>
      <c r="E664" s="1" t="s">
        <v>47</v>
      </c>
      <c r="F664" s="1" t="s">
        <v>48</v>
      </c>
      <c r="G664" s="1" t="s">
        <v>27</v>
      </c>
      <c r="H664">
        <v>8</v>
      </c>
      <c r="I664" t="s">
        <v>107</v>
      </c>
      <c r="M664" s="1" t="s">
        <v>20</v>
      </c>
      <c r="N664" s="1" t="s">
        <v>29</v>
      </c>
      <c r="O664">
        <v>6</v>
      </c>
      <c r="P664">
        <v>11</v>
      </c>
      <c r="Q664" t="str">
        <f t="shared" si="51"/>
        <v>ANGELA JOHNSON</v>
      </c>
      <c r="R664" t="str">
        <f t="shared" si="52"/>
        <v>netherlands</v>
      </c>
      <c r="S664" t="str">
        <f>PROPER(global_freelancer_raw[[#This Row],[NAME UPPER]])</f>
        <v>Angela Johnson</v>
      </c>
      <c r="T664" t="str">
        <f t="shared" si="53"/>
        <v>Ne</v>
      </c>
      <c r="U664" t="str">
        <f t="shared" si="50"/>
        <v>la Joh</v>
      </c>
      <c r="V664" t="str">
        <f t="shared" si="54"/>
        <v>63</v>
      </c>
    </row>
    <row r="665" spans="1:22" x14ac:dyDescent="0.3">
      <c r="A665" s="1" t="s">
        <v>1417</v>
      </c>
      <c r="B665" s="1" t="s">
        <v>1418</v>
      </c>
      <c r="C665" s="1" t="s">
        <v>24</v>
      </c>
      <c r="D665">
        <v>59</v>
      </c>
      <c r="E665" s="1" t="s">
        <v>102</v>
      </c>
      <c r="F665" s="1" t="s">
        <v>103</v>
      </c>
      <c r="G665" s="1" t="s">
        <v>27</v>
      </c>
      <c r="H665">
        <v>34</v>
      </c>
      <c r="I665">
        <v>100</v>
      </c>
      <c r="J665">
        <v>2</v>
      </c>
      <c r="K665">
        <v>1</v>
      </c>
      <c r="L665">
        <v>0.79</v>
      </c>
      <c r="M665" s="1" t="s">
        <v>20</v>
      </c>
      <c r="N665" s="1" t="s">
        <v>65</v>
      </c>
      <c r="O665">
        <v>18</v>
      </c>
      <c r="P665">
        <v>8</v>
      </c>
      <c r="Q665" t="str">
        <f t="shared" si="51"/>
        <v>SARAH EDWARDS</v>
      </c>
      <c r="R665" t="str">
        <f t="shared" si="52"/>
        <v>india</v>
      </c>
      <c r="S665" t="str">
        <f>PROPER(global_freelancer_raw[[#This Row],[NAME UPPER]])</f>
        <v>Sarah Edwards</v>
      </c>
      <c r="T665" t="str">
        <f t="shared" si="53"/>
        <v>In</v>
      </c>
      <c r="U665" t="str">
        <f t="shared" si="50"/>
        <v>h Edwa</v>
      </c>
      <c r="V665" t="str">
        <f t="shared" si="54"/>
        <v>64</v>
      </c>
    </row>
    <row r="666" spans="1:22" x14ac:dyDescent="0.3">
      <c r="A666" s="1" t="s">
        <v>1419</v>
      </c>
      <c r="B666" s="1" t="s">
        <v>1420</v>
      </c>
      <c r="C666" s="1" t="s">
        <v>32</v>
      </c>
      <c r="D666">
        <v>33</v>
      </c>
      <c r="E666" s="1" t="s">
        <v>47</v>
      </c>
      <c r="F666" s="1" t="s">
        <v>48</v>
      </c>
      <c r="G666" s="1" t="s">
        <v>27</v>
      </c>
      <c r="H666">
        <v>5</v>
      </c>
      <c r="I666" t="s">
        <v>71</v>
      </c>
      <c r="J666">
        <v>4.7</v>
      </c>
      <c r="K666">
        <v>1</v>
      </c>
      <c r="L666">
        <v>0.88</v>
      </c>
      <c r="M666" s="1" t="s">
        <v>72</v>
      </c>
      <c r="N666" s="1" t="s">
        <v>65</v>
      </c>
      <c r="O666">
        <v>4</v>
      </c>
      <c r="P666">
        <v>2</v>
      </c>
      <c r="Q666" t="str">
        <f t="shared" si="51"/>
        <v>ROY COLLINS</v>
      </c>
      <c r="R666" t="str">
        <f t="shared" si="52"/>
        <v>netherlands</v>
      </c>
      <c r="S666" t="str">
        <f>PROPER(global_freelancer_raw[[#This Row],[NAME UPPER]])</f>
        <v>Roy Collins</v>
      </c>
      <c r="T666" t="str">
        <f t="shared" si="53"/>
        <v>Ne</v>
      </c>
      <c r="U666" t="str">
        <f t="shared" si="50"/>
        <v>Collin</v>
      </c>
      <c r="V666" t="str">
        <f t="shared" si="54"/>
        <v>65</v>
      </c>
    </row>
    <row r="667" spans="1:22" x14ac:dyDescent="0.3">
      <c r="A667" s="1" t="s">
        <v>1421</v>
      </c>
      <c r="B667" s="1" t="s">
        <v>1422</v>
      </c>
      <c r="C667" s="1" t="s">
        <v>39</v>
      </c>
      <c r="D667">
        <v>55</v>
      </c>
      <c r="E667" s="1" t="s">
        <v>137</v>
      </c>
      <c r="F667" s="1" t="s">
        <v>26</v>
      </c>
      <c r="G667" s="1" t="s">
        <v>40</v>
      </c>
      <c r="H667">
        <v>14</v>
      </c>
      <c r="I667" t="s">
        <v>107</v>
      </c>
      <c r="J667">
        <v>3.6</v>
      </c>
      <c r="K667">
        <v>1</v>
      </c>
      <c r="L667">
        <v>0.81</v>
      </c>
      <c r="M667" s="1" t="s">
        <v>77</v>
      </c>
      <c r="N667" s="1" t="s">
        <v>65</v>
      </c>
      <c r="O667">
        <v>9</v>
      </c>
      <c r="P667">
        <v>7</v>
      </c>
      <c r="Q667" t="str">
        <f t="shared" si="51"/>
        <v>SAMANTHA PORTER</v>
      </c>
      <c r="R667" t="str">
        <f t="shared" si="52"/>
        <v>canada</v>
      </c>
      <c r="S667" t="str">
        <f>PROPER(global_freelancer_raw[[#This Row],[NAME UPPER]])</f>
        <v>Samantha Porter</v>
      </c>
      <c r="T667" t="str">
        <f t="shared" si="53"/>
        <v>Ca</v>
      </c>
      <c r="U667" t="str">
        <f t="shared" si="50"/>
        <v>ntha P</v>
      </c>
      <c r="V667" t="str">
        <f t="shared" si="54"/>
        <v>66</v>
      </c>
    </row>
    <row r="668" spans="1:22" x14ac:dyDescent="0.3">
      <c r="A668" s="1" t="s">
        <v>1423</v>
      </c>
      <c r="B668" s="1" t="s">
        <v>1424</v>
      </c>
      <c r="C668" s="1" t="s">
        <v>32</v>
      </c>
      <c r="D668">
        <v>47</v>
      </c>
      <c r="E668" s="1" t="s">
        <v>121</v>
      </c>
      <c r="F668" s="1" t="s">
        <v>122</v>
      </c>
      <c r="G668" s="1" t="s">
        <v>82</v>
      </c>
      <c r="H668">
        <v>17</v>
      </c>
      <c r="I668">
        <v>50</v>
      </c>
      <c r="J668">
        <v>1.2</v>
      </c>
      <c r="K668" t="s">
        <v>35</v>
      </c>
      <c r="M668" s="1" t="s">
        <v>20</v>
      </c>
      <c r="N668" s="1" t="s">
        <v>36</v>
      </c>
      <c r="O668">
        <v>14</v>
      </c>
      <c r="P668">
        <v>5</v>
      </c>
      <c r="Q668" t="str">
        <f t="shared" si="51"/>
        <v>JUAN ELLIOTT</v>
      </c>
      <c r="R668" t="str">
        <f t="shared" si="52"/>
        <v>south korea</v>
      </c>
      <c r="S668" t="str">
        <f>PROPER(global_freelancer_raw[[#This Row],[NAME UPPER]])</f>
        <v>Juan Elliott</v>
      </c>
      <c r="T668" t="str">
        <f t="shared" si="53"/>
        <v>So</v>
      </c>
      <c r="U668" t="str">
        <f t="shared" si="50"/>
        <v xml:space="preserve"> Ellio</v>
      </c>
      <c r="V668" t="str">
        <f t="shared" si="54"/>
        <v>67</v>
      </c>
    </row>
    <row r="669" spans="1:22" x14ac:dyDescent="0.3">
      <c r="A669" s="1" t="s">
        <v>1425</v>
      </c>
      <c r="B669" s="1" t="s">
        <v>1426</v>
      </c>
      <c r="C669" s="1" t="s">
        <v>24</v>
      </c>
      <c r="D669">
        <v>29</v>
      </c>
      <c r="E669" s="1" t="s">
        <v>188</v>
      </c>
      <c r="F669" s="1" t="s">
        <v>81</v>
      </c>
      <c r="G669" s="1" t="s">
        <v>49</v>
      </c>
      <c r="H669">
        <v>10</v>
      </c>
      <c r="J669">
        <v>4.4000000000000004</v>
      </c>
      <c r="K669" t="s">
        <v>83</v>
      </c>
      <c r="L669">
        <v>0.67</v>
      </c>
      <c r="M669" s="1" t="s">
        <v>72</v>
      </c>
      <c r="N669" s="1" t="s">
        <v>21</v>
      </c>
      <c r="O669">
        <v>15</v>
      </c>
      <c r="P669">
        <v>5</v>
      </c>
      <c r="Q669" t="str">
        <f t="shared" si="51"/>
        <v>ELIZABETH PHILLIPS</v>
      </c>
      <c r="R669" t="str">
        <f t="shared" si="52"/>
        <v>mexico</v>
      </c>
      <c r="S669" t="str">
        <f>PROPER(global_freelancer_raw[[#This Row],[NAME UPPER]])</f>
        <v>Elizabeth Phillips</v>
      </c>
      <c r="T669" t="str">
        <f t="shared" si="53"/>
        <v>Me</v>
      </c>
      <c r="U669" t="str">
        <f t="shared" si="50"/>
        <v xml:space="preserve">abeth </v>
      </c>
      <c r="V669" t="str">
        <f t="shared" si="54"/>
        <v>68</v>
      </c>
    </row>
    <row r="670" spans="1:22" x14ac:dyDescent="0.3">
      <c r="A670" s="1" t="s">
        <v>1427</v>
      </c>
      <c r="B670" s="1" t="s">
        <v>1428</v>
      </c>
      <c r="C670" s="1" t="s">
        <v>86</v>
      </c>
      <c r="D670">
        <v>30</v>
      </c>
      <c r="E670" s="1" t="s">
        <v>75</v>
      </c>
      <c r="F670" s="1" t="s">
        <v>26</v>
      </c>
      <c r="G670" s="1" t="s">
        <v>98</v>
      </c>
      <c r="H670">
        <v>8</v>
      </c>
      <c r="I670">
        <v>100</v>
      </c>
      <c r="J670">
        <v>1.4</v>
      </c>
      <c r="K670" t="s">
        <v>76</v>
      </c>
      <c r="L670">
        <v>62</v>
      </c>
      <c r="M670" s="1" t="s">
        <v>51</v>
      </c>
      <c r="N670" s="1" t="s">
        <v>29</v>
      </c>
      <c r="O670">
        <v>14</v>
      </c>
      <c r="P670">
        <v>5</v>
      </c>
      <c r="Q670" t="str">
        <f t="shared" si="51"/>
        <v>LAURA EVANS</v>
      </c>
      <c r="R670" t="str">
        <f t="shared" si="52"/>
        <v>uk</v>
      </c>
      <c r="S670" t="str">
        <f>PROPER(global_freelancer_raw[[#This Row],[NAME UPPER]])</f>
        <v>Laura Evans</v>
      </c>
      <c r="T670" t="str">
        <f t="shared" si="53"/>
        <v>UK</v>
      </c>
      <c r="U670" t="str">
        <f t="shared" si="50"/>
        <v>a Evan</v>
      </c>
      <c r="V670" t="str">
        <f t="shared" si="54"/>
        <v>69</v>
      </c>
    </row>
    <row r="671" spans="1:22" x14ac:dyDescent="0.3">
      <c r="A671" s="1" t="s">
        <v>1429</v>
      </c>
      <c r="B671" s="1" t="s">
        <v>1430</v>
      </c>
      <c r="C671" s="1" t="s">
        <v>24</v>
      </c>
      <c r="D671">
        <v>25</v>
      </c>
      <c r="E671" s="1" t="s">
        <v>137</v>
      </c>
      <c r="F671" s="1" t="s">
        <v>26</v>
      </c>
      <c r="G671" s="1" t="s">
        <v>98</v>
      </c>
      <c r="H671">
        <v>1</v>
      </c>
      <c r="I671" t="s">
        <v>118</v>
      </c>
      <c r="J671">
        <v>3.2</v>
      </c>
      <c r="K671">
        <v>0</v>
      </c>
      <c r="L671">
        <v>0.87</v>
      </c>
      <c r="M671" s="1" t="s">
        <v>20</v>
      </c>
      <c r="N671" s="1" t="s">
        <v>29</v>
      </c>
      <c r="O671">
        <v>3</v>
      </c>
      <c r="P671">
        <v>2</v>
      </c>
      <c r="Q671" t="str">
        <f t="shared" si="51"/>
        <v>AMANDA MITCHELL</v>
      </c>
      <c r="R671" t="str">
        <f t="shared" si="52"/>
        <v>canada</v>
      </c>
      <c r="S671" t="str">
        <f>PROPER(global_freelancer_raw[[#This Row],[NAME UPPER]])</f>
        <v>Amanda Mitchell</v>
      </c>
      <c r="T671" t="str">
        <f t="shared" si="53"/>
        <v>Ca</v>
      </c>
      <c r="U671" t="str">
        <f t="shared" si="50"/>
        <v>da Mit</v>
      </c>
      <c r="V671" t="str">
        <f t="shared" si="54"/>
        <v>70</v>
      </c>
    </row>
    <row r="672" spans="1:22" x14ac:dyDescent="0.3">
      <c r="A672" s="1" t="s">
        <v>1431</v>
      </c>
      <c r="B672" s="1" t="s">
        <v>1432</v>
      </c>
      <c r="C672" s="1" t="s">
        <v>44</v>
      </c>
      <c r="D672">
        <v>28</v>
      </c>
      <c r="E672" s="1" t="s">
        <v>148</v>
      </c>
      <c r="F672" s="1" t="s">
        <v>149</v>
      </c>
      <c r="G672" s="1" t="s">
        <v>87</v>
      </c>
      <c r="H672">
        <v>10</v>
      </c>
      <c r="J672">
        <v>3.8</v>
      </c>
      <c r="K672" t="s">
        <v>76</v>
      </c>
      <c r="L672">
        <v>0.98</v>
      </c>
      <c r="M672" s="1" t="s">
        <v>77</v>
      </c>
      <c r="N672" s="1" t="s">
        <v>36</v>
      </c>
      <c r="O672">
        <v>12</v>
      </c>
      <c r="P672">
        <v>11</v>
      </c>
      <c r="Q672" t="str">
        <f t="shared" si="51"/>
        <v>SANDRA WILLIAMS</v>
      </c>
      <c r="R672" t="str">
        <f t="shared" si="52"/>
        <v>egypt</v>
      </c>
      <c r="S672" t="str">
        <f>PROPER(global_freelancer_raw[[#This Row],[NAME UPPER]])</f>
        <v>Sandra Williams</v>
      </c>
      <c r="T672" t="str">
        <f t="shared" si="53"/>
        <v>Eg</v>
      </c>
      <c r="U672" t="str">
        <f t="shared" si="50"/>
        <v>ra Wil</v>
      </c>
      <c r="V672" t="str">
        <f t="shared" si="54"/>
        <v>71</v>
      </c>
    </row>
    <row r="673" spans="1:22" x14ac:dyDescent="0.3">
      <c r="A673" s="1" t="s">
        <v>1433</v>
      </c>
      <c r="B673" s="1" t="s">
        <v>1434</v>
      </c>
      <c r="C673" s="1" t="s">
        <v>32</v>
      </c>
      <c r="D673">
        <v>29</v>
      </c>
      <c r="E673" s="1" t="s">
        <v>121</v>
      </c>
      <c r="F673" s="1" t="s">
        <v>122</v>
      </c>
      <c r="G673" s="1" t="s">
        <v>19</v>
      </c>
      <c r="H673">
        <v>0</v>
      </c>
      <c r="I673" t="s">
        <v>179</v>
      </c>
      <c r="J673">
        <v>1.5</v>
      </c>
      <c r="K673" t="b">
        <v>1</v>
      </c>
      <c r="L673">
        <v>0.64</v>
      </c>
      <c r="M673" s="1" t="s">
        <v>77</v>
      </c>
      <c r="N673" s="1" t="s">
        <v>29</v>
      </c>
      <c r="O673">
        <v>5</v>
      </c>
      <c r="P673">
        <v>4</v>
      </c>
      <c r="Q673" t="str">
        <f t="shared" si="51"/>
        <v>ERIC JOHNSON</v>
      </c>
      <c r="R673" t="str">
        <f t="shared" si="52"/>
        <v>south korea</v>
      </c>
      <c r="S673" t="str">
        <f>PROPER(global_freelancer_raw[[#This Row],[NAME UPPER]])</f>
        <v>Eric Johnson</v>
      </c>
      <c r="T673" t="str">
        <f t="shared" si="53"/>
        <v>So</v>
      </c>
      <c r="U673" t="str">
        <f t="shared" si="50"/>
        <v xml:space="preserve"> Johns</v>
      </c>
      <c r="V673" t="str">
        <f t="shared" si="54"/>
        <v>72</v>
      </c>
    </row>
    <row r="674" spans="1:22" x14ac:dyDescent="0.3">
      <c r="A674" s="1" t="s">
        <v>1435</v>
      </c>
      <c r="B674" s="1" t="s">
        <v>1436</v>
      </c>
      <c r="C674" s="1" t="s">
        <v>106</v>
      </c>
      <c r="D674">
        <v>30</v>
      </c>
      <c r="E674" s="1" t="s">
        <v>199</v>
      </c>
      <c r="F674" s="1" t="s">
        <v>81</v>
      </c>
      <c r="G674" s="1" t="s">
        <v>34</v>
      </c>
      <c r="H674">
        <v>4</v>
      </c>
      <c r="J674">
        <v>2.8</v>
      </c>
      <c r="K674">
        <v>1</v>
      </c>
      <c r="L674">
        <v>0.71</v>
      </c>
      <c r="M674" s="1" t="s">
        <v>77</v>
      </c>
      <c r="N674" s="1" t="s">
        <v>29</v>
      </c>
      <c r="O674">
        <v>4</v>
      </c>
      <c r="P674">
        <v>1</v>
      </c>
      <c r="Q674" t="str">
        <f t="shared" si="51"/>
        <v>JAVIER HOBBS</v>
      </c>
      <c r="R674" t="str">
        <f t="shared" si="52"/>
        <v>spain</v>
      </c>
      <c r="S674" t="str">
        <f>PROPER(global_freelancer_raw[[#This Row],[NAME UPPER]])</f>
        <v>Javier Hobbs</v>
      </c>
      <c r="T674" t="str">
        <f t="shared" si="53"/>
        <v>Sp</v>
      </c>
      <c r="U674" t="str">
        <f t="shared" si="50"/>
        <v>er Hob</v>
      </c>
      <c r="V674" t="str">
        <f t="shared" si="54"/>
        <v>73</v>
      </c>
    </row>
    <row r="675" spans="1:22" x14ac:dyDescent="0.3">
      <c r="A675" s="1" t="s">
        <v>1437</v>
      </c>
      <c r="B675" s="1" t="s">
        <v>1438</v>
      </c>
      <c r="C675" s="1" t="s">
        <v>32</v>
      </c>
      <c r="D675">
        <v>47</v>
      </c>
      <c r="E675" s="1" t="s">
        <v>148</v>
      </c>
      <c r="F675" s="1" t="s">
        <v>149</v>
      </c>
      <c r="G675" s="1" t="s">
        <v>49</v>
      </c>
      <c r="H675">
        <v>2</v>
      </c>
      <c r="I675">
        <v>50</v>
      </c>
      <c r="J675">
        <v>2.7</v>
      </c>
      <c r="K675" t="s">
        <v>168</v>
      </c>
      <c r="L675">
        <v>96</v>
      </c>
      <c r="M675" s="1" t="s">
        <v>51</v>
      </c>
      <c r="N675" s="1" t="s">
        <v>29</v>
      </c>
      <c r="O675">
        <v>4</v>
      </c>
      <c r="P675">
        <v>1</v>
      </c>
      <c r="Q675" t="str">
        <f t="shared" si="51"/>
        <v>JACOB JONES</v>
      </c>
      <c r="R675" t="str">
        <f t="shared" si="52"/>
        <v>egypt</v>
      </c>
      <c r="S675" t="str">
        <f>PROPER(global_freelancer_raw[[#This Row],[NAME UPPER]])</f>
        <v>Jacob Jones</v>
      </c>
      <c r="T675" t="str">
        <f t="shared" si="53"/>
        <v>Eg</v>
      </c>
      <c r="U675" t="str">
        <f t="shared" si="50"/>
        <v>b Jone</v>
      </c>
      <c r="V675" t="str">
        <f t="shared" si="54"/>
        <v>74</v>
      </c>
    </row>
    <row r="676" spans="1:22" x14ac:dyDescent="0.3">
      <c r="A676" s="1" t="s">
        <v>1439</v>
      </c>
      <c r="B676" s="1" t="s">
        <v>1440</v>
      </c>
      <c r="C676" s="1" t="s">
        <v>68</v>
      </c>
      <c r="D676">
        <v>34</v>
      </c>
      <c r="E676" s="1" t="s">
        <v>25</v>
      </c>
      <c r="F676" s="1" t="s">
        <v>26</v>
      </c>
      <c r="G676" s="1" t="s">
        <v>19</v>
      </c>
      <c r="H676">
        <v>10</v>
      </c>
      <c r="I676" t="s">
        <v>50</v>
      </c>
      <c r="J676">
        <v>3.9</v>
      </c>
      <c r="M676" s="1" t="s">
        <v>20</v>
      </c>
      <c r="N676" s="1" t="s">
        <v>29</v>
      </c>
      <c r="O676">
        <v>12</v>
      </c>
      <c r="P676">
        <v>13</v>
      </c>
      <c r="Q676" t="str">
        <f t="shared" si="51"/>
        <v>ZACHARY MURPHY</v>
      </c>
      <c r="R676" t="str">
        <f t="shared" si="52"/>
        <v>australia</v>
      </c>
      <c r="S676" t="str">
        <f>PROPER(global_freelancer_raw[[#This Row],[NAME UPPER]])</f>
        <v>Zachary Murphy</v>
      </c>
      <c r="T676" t="str">
        <f t="shared" si="53"/>
        <v>Au</v>
      </c>
      <c r="U676" t="str">
        <f t="shared" si="50"/>
        <v>ary Mu</v>
      </c>
      <c r="V676" t="str">
        <f t="shared" si="54"/>
        <v>75</v>
      </c>
    </row>
    <row r="677" spans="1:22" x14ac:dyDescent="0.3">
      <c r="A677" s="1" t="s">
        <v>1441</v>
      </c>
      <c r="B677" s="1" t="s">
        <v>1442</v>
      </c>
      <c r="C677" s="1" t="s">
        <v>101</v>
      </c>
      <c r="D677">
        <v>45</v>
      </c>
      <c r="E677" s="1" t="s">
        <v>64</v>
      </c>
      <c r="F677" s="1" t="s">
        <v>26</v>
      </c>
      <c r="G677" s="1" t="s">
        <v>34</v>
      </c>
      <c r="H677">
        <v>16</v>
      </c>
      <c r="I677">
        <v>100</v>
      </c>
      <c r="J677">
        <v>4.5999999999999996</v>
      </c>
      <c r="K677" t="s">
        <v>35</v>
      </c>
      <c r="L677">
        <v>0.78</v>
      </c>
      <c r="M677" s="1" t="s">
        <v>20</v>
      </c>
      <c r="N677" s="1" t="s">
        <v>21</v>
      </c>
      <c r="O677">
        <v>15</v>
      </c>
      <c r="P677">
        <v>7</v>
      </c>
      <c r="Q677" t="str">
        <f t="shared" si="51"/>
        <v>JOSHUA OWENS</v>
      </c>
      <c r="R677" t="str">
        <f t="shared" si="52"/>
        <v>us</v>
      </c>
      <c r="S677" t="str">
        <f>PROPER(global_freelancer_raw[[#This Row],[NAME UPPER]])</f>
        <v>Joshua Owens</v>
      </c>
      <c r="T677" t="str">
        <f t="shared" si="53"/>
        <v>US</v>
      </c>
      <c r="U677" t="str">
        <f t="shared" si="50"/>
        <v>ua Owe</v>
      </c>
      <c r="V677" t="str">
        <f t="shared" si="54"/>
        <v>76</v>
      </c>
    </row>
    <row r="678" spans="1:22" x14ac:dyDescent="0.3">
      <c r="A678" s="1" t="s">
        <v>1443</v>
      </c>
      <c r="B678" s="1" t="s">
        <v>1444</v>
      </c>
      <c r="C678" s="1" t="s">
        <v>39</v>
      </c>
      <c r="D678">
        <v>56</v>
      </c>
      <c r="E678" s="1" t="s">
        <v>199</v>
      </c>
      <c r="F678" s="1" t="s">
        <v>81</v>
      </c>
      <c r="G678" s="1" t="s">
        <v>87</v>
      </c>
      <c r="H678">
        <v>27</v>
      </c>
      <c r="I678" t="s">
        <v>130</v>
      </c>
      <c r="J678">
        <v>2.2000000000000002</v>
      </c>
      <c r="K678" t="b">
        <v>0</v>
      </c>
      <c r="L678">
        <v>0.7</v>
      </c>
      <c r="M678" s="1" t="s">
        <v>51</v>
      </c>
      <c r="N678" s="1" t="s">
        <v>29</v>
      </c>
      <c r="O678">
        <v>19</v>
      </c>
      <c r="P678">
        <v>3</v>
      </c>
      <c r="Q678" t="str">
        <f t="shared" si="51"/>
        <v>DAWN MITCHELL</v>
      </c>
      <c r="R678" t="str">
        <f t="shared" si="52"/>
        <v>spain</v>
      </c>
      <c r="S678" t="str">
        <f>PROPER(global_freelancer_raw[[#This Row],[NAME UPPER]])</f>
        <v>Dawn Mitchell</v>
      </c>
      <c r="T678" t="str">
        <f t="shared" si="53"/>
        <v>Sp</v>
      </c>
      <c r="U678" t="str">
        <f t="shared" si="50"/>
        <v xml:space="preserve"> Mitch</v>
      </c>
      <c r="V678" t="str">
        <f t="shared" si="54"/>
        <v>77</v>
      </c>
    </row>
    <row r="679" spans="1:22" x14ac:dyDescent="0.3">
      <c r="A679" s="1" t="s">
        <v>1445</v>
      </c>
      <c r="B679" s="1" t="s">
        <v>1446</v>
      </c>
      <c r="C679" s="1" t="s">
        <v>44</v>
      </c>
      <c r="D679">
        <v>49</v>
      </c>
      <c r="E679" s="1" t="s">
        <v>184</v>
      </c>
      <c r="F679" s="1" t="s">
        <v>185</v>
      </c>
      <c r="G679" s="1" t="s">
        <v>98</v>
      </c>
      <c r="H679">
        <v>20</v>
      </c>
      <c r="I679">
        <v>50</v>
      </c>
      <c r="J679">
        <v>2.5</v>
      </c>
      <c r="K679">
        <v>0</v>
      </c>
      <c r="L679">
        <v>0.82</v>
      </c>
      <c r="M679" s="1" t="s">
        <v>20</v>
      </c>
      <c r="N679" s="1" t="s">
        <v>65</v>
      </c>
      <c r="O679">
        <v>15</v>
      </c>
      <c r="P679">
        <v>11</v>
      </c>
      <c r="Q679" t="str">
        <f t="shared" si="51"/>
        <v>REGINA DUNN</v>
      </c>
      <c r="R679" t="str">
        <f t="shared" si="52"/>
        <v>china</v>
      </c>
      <c r="S679" t="str">
        <f>PROPER(global_freelancer_raw[[#This Row],[NAME UPPER]])</f>
        <v>Regina Dunn</v>
      </c>
      <c r="T679" t="str">
        <f t="shared" si="53"/>
        <v>Ch</v>
      </c>
      <c r="U679" t="str">
        <f t="shared" si="50"/>
        <v>na Dun</v>
      </c>
      <c r="V679" t="str">
        <f t="shared" si="54"/>
        <v>78</v>
      </c>
    </row>
    <row r="680" spans="1:22" x14ac:dyDescent="0.3">
      <c r="A680" s="1" t="s">
        <v>1447</v>
      </c>
      <c r="B680" s="1" t="s">
        <v>1448</v>
      </c>
      <c r="C680" s="1" t="s">
        <v>68</v>
      </c>
      <c r="D680">
        <v>48</v>
      </c>
      <c r="E680" s="1" t="s">
        <v>144</v>
      </c>
      <c r="F680" s="1" t="s">
        <v>145</v>
      </c>
      <c r="G680" s="1" t="s">
        <v>49</v>
      </c>
      <c r="H680">
        <v>10</v>
      </c>
      <c r="J680">
        <v>3.1</v>
      </c>
      <c r="K680" t="b">
        <v>0</v>
      </c>
      <c r="M680" s="1" t="s">
        <v>51</v>
      </c>
      <c r="N680" s="1" t="s">
        <v>36</v>
      </c>
      <c r="O680">
        <v>13</v>
      </c>
      <c r="P680">
        <v>4</v>
      </c>
      <c r="Q680" t="str">
        <f t="shared" si="51"/>
        <v>ERNEST COLE</v>
      </c>
      <c r="R680" t="str">
        <f t="shared" si="52"/>
        <v>france</v>
      </c>
      <c r="S680" t="str">
        <f>PROPER(global_freelancer_raw[[#This Row],[NAME UPPER]])</f>
        <v>Ernest Cole</v>
      </c>
      <c r="T680" t="str">
        <f t="shared" si="53"/>
        <v>Fr</v>
      </c>
      <c r="U680" t="str">
        <f t="shared" si="50"/>
        <v>st Col</v>
      </c>
      <c r="V680" t="str">
        <f t="shared" si="54"/>
        <v>79</v>
      </c>
    </row>
    <row r="681" spans="1:22" x14ac:dyDescent="0.3">
      <c r="A681" s="1" t="s">
        <v>1449</v>
      </c>
      <c r="B681" s="1" t="s">
        <v>1450</v>
      </c>
      <c r="C681" s="1" t="s">
        <v>44</v>
      </c>
      <c r="D681">
        <v>29</v>
      </c>
      <c r="E681" s="1" t="s">
        <v>121</v>
      </c>
      <c r="F681" s="1" t="s">
        <v>122</v>
      </c>
      <c r="G681" s="1" t="s">
        <v>34</v>
      </c>
      <c r="H681">
        <v>0</v>
      </c>
      <c r="I681" t="s">
        <v>130</v>
      </c>
      <c r="K681">
        <v>1</v>
      </c>
      <c r="L681">
        <v>0.99</v>
      </c>
      <c r="M681" s="1" t="s">
        <v>51</v>
      </c>
      <c r="N681" s="1" t="s">
        <v>21</v>
      </c>
      <c r="O681">
        <v>3</v>
      </c>
      <c r="P681">
        <v>2</v>
      </c>
      <c r="Q681" t="str">
        <f t="shared" si="51"/>
        <v>HANNAH SANDERS</v>
      </c>
      <c r="R681" t="str">
        <f t="shared" si="52"/>
        <v>south korea</v>
      </c>
      <c r="S681" t="str">
        <f>PROPER(global_freelancer_raw[[#This Row],[NAME UPPER]])</f>
        <v>Hannah Sanders</v>
      </c>
      <c r="T681" t="str">
        <f t="shared" si="53"/>
        <v>So</v>
      </c>
      <c r="U681" t="str">
        <f t="shared" si="50"/>
        <v>ah San</v>
      </c>
      <c r="V681" t="str">
        <f t="shared" si="54"/>
        <v>80</v>
      </c>
    </row>
    <row r="682" spans="1:22" x14ac:dyDescent="0.3">
      <c r="A682" s="1" t="s">
        <v>1451</v>
      </c>
      <c r="B682" s="1" t="s">
        <v>1452</v>
      </c>
      <c r="C682" s="1" t="s">
        <v>86</v>
      </c>
      <c r="D682">
        <v>49</v>
      </c>
      <c r="E682" s="1" t="s">
        <v>47</v>
      </c>
      <c r="F682" s="1" t="s">
        <v>48</v>
      </c>
      <c r="G682" s="1" t="s">
        <v>40</v>
      </c>
      <c r="H682">
        <v>11</v>
      </c>
      <c r="I682">
        <v>75</v>
      </c>
      <c r="J682">
        <v>3.8</v>
      </c>
      <c r="K682" t="s">
        <v>83</v>
      </c>
      <c r="L682">
        <v>0.93</v>
      </c>
      <c r="M682" s="1" t="s">
        <v>51</v>
      </c>
      <c r="N682" s="1" t="s">
        <v>29</v>
      </c>
      <c r="O682">
        <v>13</v>
      </c>
      <c r="P682">
        <v>5</v>
      </c>
      <c r="Q682" t="str">
        <f t="shared" si="51"/>
        <v>ELLEN BOWMAN</v>
      </c>
      <c r="R682" t="str">
        <f t="shared" si="52"/>
        <v>netherlands</v>
      </c>
      <c r="S682" t="str">
        <f>PROPER(global_freelancer_raw[[#This Row],[NAME UPPER]])</f>
        <v>Ellen Bowman</v>
      </c>
      <c r="T682" t="str">
        <f t="shared" si="53"/>
        <v>Ne</v>
      </c>
      <c r="U682" t="str">
        <f t="shared" si="50"/>
        <v>n Bowm</v>
      </c>
      <c r="V682" t="str">
        <f t="shared" si="54"/>
        <v>81</v>
      </c>
    </row>
    <row r="683" spans="1:22" x14ac:dyDescent="0.3">
      <c r="A683" s="1" t="s">
        <v>1453</v>
      </c>
      <c r="B683" s="1" t="s">
        <v>1454</v>
      </c>
      <c r="C683" s="1" t="s">
        <v>24</v>
      </c>
      <c r="D683">
        <v>22</v>
      </c>
      <c r="E683" s="1" t="s">
        <v>184</v>
      </c>
      <c r="F683" s="1" t="s">
        <v>185</v>
      </c>
      <c r="G683" s="1" t="s">
        <v>19</v>
      </c>
      <c r="H683">
        <v>1</v>
      </c>
      <c r="I683">
        <v>100</v>
      </c>
      <c r="J683">
        <v>4.8</v>
      </c>
      <c r="K683" t="s">
        <v>83</v>
      </c>
      <c r="L683">
        <v>0.75</v>
      </c>
      <c r="M683" s="1" t="s">
        <v>77</v>
      </c>
      <c r="N683" s="1" t="s">
        <v>21</v>
      </c>
      <c r="O683">
        <v>1</v>
      </c>
      <c r="P683">
        <v>1</v>
      </c>
      <c r="Q683" t="str">
        <f t="shared" si="51"/>
        <v>NANCY MOORE</v>
      </c>
      <c r="R683" t="str">
        <f t="shared" si="52"/>
        <v>china</v>
      </c>
      <c r="S683" t="str">
        <f>PROPER(global_freelancer_raw[[#This Row],[NAME UPPER]])</f>
        <v>Nancy Moore</v>
      </c>
      <c r="T683" t="str">
        <f t="shared" si="53"/>
        <v>Ch</v>
      </c>
      <c r="U683" t="str">
        <f t="shared" si="50"/>
        <v>y Moor</v>
      </c>
      <c r="V683" t="str">
        <f t="shared" si="54"/>
        <v>82</v>
      </c>
    </row>
    <row r="684" spans="1:22" x14ac:dyDescent="0.3">
      <c r="A684" s="1" t="s">
        <v>1455</v>
      </c>
      <c r="B684" s="1" t="s">
        <v>1456</v>
      </c>
      <c r="C684" s="1" t="s">
        <v>54</v>
      </c>
      <c r="D684">
        <v>52</v>
      </c>
      <c r="E684" s="1" t="s">
        <v>188</v>
      </c>
      <c r="F684" s="1" t="s">
        <v>81</v>
      </c>
      <c r="G684" s="1" t="s">
        <v>34</v>
      </c>
      <c r="H684">
        <v>30</v>
      </c>
      <c r="I684" t="s">
        <v>28</v>
      </c>
      <c r="J684">
        <v>2.5</v>
      </c>
      <c r="L684">
        <v>61</v>
      </c>
      <c r="M684" s="1" t="s">
        <v>20</v>
      </c>
      <c r="N684" s="1" t="s">
        <v>29</v>
      </c>
      <c r="O684">
        <v>19</v>
      </c>
      <c r="P684">
        <v>14</v>
      </c>
      <c r="Q684" t="str">
        <f t="shared" si="51"/>
        <v>JOSEPH WOOD</v>
      </c>
      <c r="R684" t="str">
        <f t="shared" si="52"/>
        <v>mexico</v>
      </c>
      <c r="S684" t="str">
        <f>PROPER(global_freelancer_raw[[#This Row],[NAME UPPER]])</f>
        <v>Joseph Wood</v>
      </c>
      <c r="T684" t="str">
        <f t="shared" si="53"/>
        <v>Me</v>
      </c>
      <c r="U684" t="str">
        <f t="shared" si="50"/>
        <v>ph Woo</v>
      </c>
      <c r="V684" t="str">
        <f t="shared" si="54"/>
        <v>83</v>
      </c>
    </row>
    <row r="685" spans="1:22" x14ac:dyDescent="0.3">
      <c r="A685" s="1" t="s">
        <v>1457</v>
      </c>
      <c r="B685" s="1" t="s">
        <v>1458</v>
      </c>
      <c r="C685" s="1" t="s">
        <v>68</v>
      </c>
      <c r="D685">
        <v>60</v>
      </c>
      <c r="E685" s="1" t="s">
        <v>137</v>
      </c>
      <c r="F685" s="1" t="s">
        <v>26</v>
      </c>
      <c r="G685" s="1" t="s">
        <v>19</v>
      </c>
      <c r="H685">
        <v>7</v>
      </c>
      <c r="I685" t="s">
        <v>118</v>
      </c>
      <c r="J685">
        <v>0</v>
      </c>
      <c r="K685" t="s">
        <v>168</v>
      </c>
      <c r="L685">
        <v>0.97</v>
      </c>
      <c r="M685" s="1" t="s">
        <v>51</v>
      </c>
      <c r="N685" s="1" t="s">
        <v>65</v>
      </c>
      <c r="O685">
        <v>9</v>
      </c>
      <c r="P685">
        <v>8</v>
      </c>
      <c r="Q685" t="str">
        <f t="shared" si="51"/>
        <v>MICHAEL HARRELL</v>
      </c>
      <c r="R685" t="str">
        <f t="shared" si="52"/>
        <v>canada</v>
      </c>
      <c r="S685" t="str">
        <f>PROPER(global_freelancer_raw[[#This Row],[NAME UPPER]])</f>
        <v>Michael Harrell</v>
      </c>
      <c r="T685" t="str">
        <f t="shared" si="53"/>
        <v>Ca</v>
      </c>
      <c r="U685" t="str">
        <f t="shared" si="50"/>
        <v>ael Ha</v>
      </c>
      <c r="V685" t="str">
        <f t="shared" si="54"/>
        <v>84</v>
      </c>
    </row>
    <row r="686" spans="1:22" x14ac:dyDescent="0.3">
      <c r="A686" s="1" t="s">
        <v>1459</v>
      </c>
      <c r="B686" s="1" t="s">
        <v>1460</v>
      </c>
      <c r="C686" s="1" t="s">
        <v>39</v>
      </c>
      <c r="D686">
        <v>33</v>
      </c>
      <c r="E686" s="1" t="s">
        <v>94</v>
      </c>
      <c r="F686" s="1" t="s">
        <v>95</v>
      </c>
      <c r="G686" s="1" t="s">
        <v>82</v>
      </c>
      <c r="H686">
        <v>0</v>
      </c>
      <c r="I686" t="s">
        <v>238</v>
      </c>
      <c r="J686">
        <v>1.7</v>
      </c>
      <c r="K686">
        <v>1</v>
      </c>
      <c r="L686">
        <v>95</v>
      </c>
      <c r="M686" s="1" t="s">
        <v>20</v>
      </c>
      <c r="N686" s="1" t="s">
        <v>36</v>
      </c>
      <c r="O686">
        <v>4</v>
      </c>
      <c r="P686">
        <v>5</v>
      </c>
      <c r="Q686" t="str">
        <f t="shared" si="51"/>
        <v>CONNIE MCCLAIN</v>
      </c>
      <c r="R686" t="str">
        <f t="shared" si="52"/>
        <v>japan</v>
      </c>
      <c r="S686" t="str">
        <f>PROPER(global_freelancer_raw[[#This Row],[NAME UPPER]])</f>
        <v>Connie Mcclain</v>
      </c>
      <c r="T686" t="str">
        <f t="shared" si="53"/>
        <v>Ja</v>
      </c>
      <c r="U686" t="str">
        <f t="shared" si="50"/>
        <v>ie Mcc</v>
      </c>
      <c r="V686" t="str">
        <f t="shared" si="54"/>
        <v>85</v>
      </c>
    </row>
    <row r="687" spans="1:22" x14ac:dyDescent="0.3">
      <c r="A687" s="1" t="s">
        <v>1461</v>
      </c>
      <c r="B687" s="1" t="s">
        <v>1462</v>
      </c>
      <c r="C687" s="1" t="s">
        <v>101</v>
      </c>
      <c r="D687">
        <v>52</v>
      </c>
      <c r="E687" s="1" t="s">
        <v>121</v>
      </c>
      <c r="F687" s="1" t="s">
        <v>122</v>
      </c>
      <c r="G687" s="1" t="s">
        <v>34</v>
      </c>
      <c r="H687">
        <v>21</v>
      </c>
      <c r="I687" t="s">
        <v>61</v>
      </c>
      <c r="J687">
        <v>4</v>
      </c>
      <c r="L687">
        <v>0.69</v>
      </c>
      <c r="M687" s="1" t="s">
        <v>77</v>
      </c>
      <c r="N687" s="1" t="s">
        <v>29</v>
      </c>
      <c r="O687">
        <v>14</v>
      </c>
      <c r="P687">
        <v>9</v>
      </c>
      <c r="Q687" t="str">
        <f t="shared" si="51"/>
        <v>MATTHEW BALDWIN</v>
      </c>
      <c r="R687" t="str">
        <f t="shared" si="52"/>
        <v>south korea</v>
      </c>
      <c r="S687" t="str">
        <f>PROPER(global_freelancer_raw[[#This Row],[NAME UPPER]])</f>
        <v>Matthew Baldwin</v>
      </c>
      <c r="T687" t="str">
        <f t="shared" si="53"/>
        <v>So</v>
      </c>
      <c r="U687" t="str">
        <f t="shared" si="50"/>
        <v>hew Ba</v>
      </c>
      <c r="V687" t="str">
        <f t="shared" si="54"/>
        <v>86</v>
      </c>
    </row>
    <row r="688" spans="1:22" x14ac:dyDescent="0.3">
      <c r="A688" s="1" t="s">
        <v>1463</v>
      </c>
      <c r="B688" s="1" t="s">
        <v>1464</v>
      </c>
      <c r="C688" s="1" t="s">
        <v>16</v>
      </c>
      <c r="D688">
        <v>25</v>
      </c>
      <c r="E688" s="1" t="s">
        <v>33</v>
      </c>
      <c r="F688" s="1" t="s">
        <v>33</v>
      </c>
      <c r="G688" s="1" t="s">
        <v>98</v>
      </c>
      <c r="H688">
        <v>7</v>
      </c>
      <c r="I688" t="s">
        <v>28</v>
      </c>
      <c r="J688">
        <v>1.9</v>
      </c>
      <c r="K688" t="b">
        <v>0</v>
      </c>
      <c r="L688">
        <v>0.63</v>
      </c>
      <c r="M688" s="1" t="s">
        <v>51</v>
      </c>
      <c r="N688" s="1" t="s">
        <v>29</v>
      </c>
      <c r="O688">
        <v>11</v>
      </c>
      <c r="P688">
        <v>5</v>
      </c>
      <c r="Q688" t="str">
        <f t="shared" si="51"/>
        <v>DANIELLE NELSON</v>
      </c>
      <c r="R688" t="str">
        <f t="shared" si="52"/>
        <v>germany</v>
      </c>
      <c r="S688" t="str">
        <f>PROPER(global_freelancer_raw[[#This Row],[NAME UPPER]])</f>
        <v>Danielle Nelson</v>
      </c>
      <c r="T688" t="str">
        <f t="shared" si="53"/>
        <v>Ge</v>
      </c>
      <c r="U688" t="str">
        <f t="shared" si="50"/>
        <v>elle N</v>
      </c>
      <c r="V688" t="str">
        <f t="shared" si="54"/>
        <v>87</v>
      </c>
    </row>
    <row r="689" spans="1:22" x14ac:dyDescent="0.3">
      <c r="A689" s="1" t="s">
        <v>1465</v>
      </c>
      <c r="B689" s="1" t="s">
        <v>1466</v>
      </c>
      <c r="C689" s="1" t="s">
        <v>101</v>
      </c>
      <c r="D689">
        <v>33</v>
      </c>
      <c r="E689" s="1" t="s">
        <v>94</v>
      </c>
      <c r="F689" s="1" t="s">
        <v>95</v>
      </c>
      <c r="G689" s="1" t="s">
        <v>87</v>
      </c>
      <c r="I689" t="s">
        <v>118</v>
      </c>
      <c r="J689">
        <v>4.4000000000000004</v>
      </c>
      <c r="K689" t="b">
        <v>1</v>
      </c>
      <c r="L689">
        <v>0.65</v>
      </c>
      <c r="M689" s="1" t="s">
        <v>72</v>
      </c>
      <c r="N689" s="1" t="s">
        <v>29</v>
      </c>
      <c r="O689">
        <v>1</v>
      </c>
      <c r="P689">
        <v>1</v>
      </c>
      <c r="Q689" t="str">
        <f t="shared" si="51"/>
        <v>STEVEN MOORE</v>
      </c>
      <c r="R689" t="str">
        <f t="shared" si="52"/>
        <v>japan</v>
      </c>
      <c r="S689" t="str">
        <f>PROPER(global_freelancer_raw[[#This Row],[NAME UPPER]])</f>
        <v>Steven Moore</v>
      </c>
      <c r="T689" t="str">
        <f t="shared" si="53"/>
        <v>Ja</v>
      </c>
      <c r="U689" t="str">
        <f t="shared" si="50"/>
        <v>en Moo</v>
      </c>
      <c r="V689" t="str">
        <f t="shared" si="54"/>
        <v>88</v>
      </c>
    </row>
    <row r="690" spans="1:22" x14ac:dyDescent="0.3">
      <c r="A690" s="1" t="s">
        <v>1467</v>
      </c>
      <c r="B690" s="1" t="s">
        <v>1468</v>
      </c>
      <c r="C690" s="1" t="s">
        <v>16</v>
      </c>
      <c r="D690">
        <v>33</v>
      </c>
      <c r="E690" s="1" t="s">
        <v>184</v>
      </c>
      <c r="F690" s="1" t="s">
        <v>185</v>
      </c>
      <c r="G690" s="1" t="s">
        <v>27</v>
      </c>
      <c r="J690">
        <v>4.2</v>
      </c>
      <c r="K690" t="s">
        <v>83</v>
      </c>
      <c r="L690">
        <v>0.9</v>
      </c>
      <c r="M690" s="1" t="s">
        <v>77</v>
      </c>
      <c r="N690" s="1" t="s">
        <v>29</v>
      </c>
      <c r="O690">
        <v>1</v>
      </c>
      <c r="P690">
        <v>1</v>
      </c>
      <c r="Q690" t="str">
        <f t="shared" si="51"/>
        <v>MEGAN HUDSON</v>
      </c>
      <c r="R690" t="str">
        <f t="shared" si="52"/>
        <v>china</v>
      </c>
      <c r="S690" t="str">
        <f>PROPER(global_freelancer_raw[[#This Row],[NAME UPPER]])</f>
        <v>Megan Hudson</v>
      </c>
      <c r="T690" t="str">
        <f t="shared" si="53"/>
        <v>Ch</v>
      </c>
      <c r="U690" t="str">
        <f t="shared" si="50"/>
        <v>n Huds</v>
      </c>
      <c r="V690" t="str">
        <f t="shared" si="54"/>
        <v>89</v>
      </c>
    </row>
    <row r="691" spans="1:22" x14ac:dyDescent="0.3">
      <c r="A691" s="1" t="s">
        <v>1469</v>
      </c>
      <c r="B691" s="1" t="s">
        <v>46</v>
      </c>
      <c r="C691" s="1" t="s">
        <v>86</v>
      </c>
      <c r="D691">
        <v>52</v>
      </c>
      <c r="E691" s="1" t="s">
        <v>137</v>
      </c>
      <c r="F691" s="1" t="s">
        <v>26</v>
      </c>
      <c r="G691" s="1" t="s">
        <v>82</v>
      </c>
      <c r="H691">
        <v>25</v>
      </c>
      <c r="I691">
        <v>100</v>
      </c>
      <c r="J691">
        <v>4.8</v>
      </c>
      <c r="K691" t="s">
        <v>35</v>
      </c>
      <c r="M691" s="1" t="s">
        <v>72</v>
      </c>
      <c r="N691" s="1" t="s">
        <v>36</v>
      </c>
      <c r="O691">
        <v>10</v>
      </c>
      <c r="P691">
        <v>8</v>
      </c>
      <c r="Q691" t="str">
        <f t="shared" si="51"/>
        <v>LISA JOHNSON</v>
      </c>
      <c r="R691" t="str">
        <f t="shared" si="52"/>
        <v>canada</v>
      </c>
      <c r="S691" t="str">
        <f>PROPER(global_freelancer_raw[[#This Row],[NAME UPPER]])</f>
        <v>Lisa Johnson</v>
      </c>
      <c r="T691" t="str">
        <f t="shared" si="53"/>
        <v>Ca</v>
      </c>
      <c r="U691" t="str">
        <f t="shared" si="50"/>
        <v xml:space="preserve"> Johns</v>
      </c>
      <c r="V691" t="str">
        <f t="shared" si="54"/>
        <v>90</v>
      </c>
    </row>
    <row r="692" spans="1:22" x14ac:dyDescent="0.3">
      <c r="A692" s="1" t="s">
        <v>1470</v>
      </c>
      <c r="B692" s="1" t="s">
        <v>1471</v>
      </c>
      <c r="C692" s="1" t="s">
        <v>16</v>
      </c>
      <c r="D692">
        <v>20</v>
      </c>
      <c r="E692" s="1" t="s">
        <v>55</v>
      </c>
      <c r="F692" s="1" t="s">
        <v>56</v>
      </c>
      <c r="G692" s="1" t="s">
        <v>40</v>
      </c>
      <c r="H692">
        <v>1</v>
      </c>
      <c r="I692" t="s">
        <v>118</v>
      </c>
      <c r="J692">
        <v>2</v>
      </c>
      <c r="K692" t="s">
        <v>168</v>
      </c>
      <c r="L692">
        <v>0.89</v>
      </c>
      <c r="M692" s="1" t="s">
        <v>20</v>
      </c>
      <c r="N692" s="1" t="s">
        <v>36</v>
      </c>
      <c r="O692">
        <v>1</v>
      </c>
      <c r="P692">
        <v>2</v>
      </c>
      <c r="Q692" t="str">
        <f t="shared" si="51"/>
        <v>TRACY WHITE</v>
      </c>
      <c r="R692" t="str">
        <f t="shared" si="52"/>
        <v>indonesia</v>
      </c>
      <c r="S692" t="str">
        <f>PROPER(global_freelancer_raw[[#This Row],[NAME UPPER]])</f>
        <v>Tracy White</v>
      </c>
      <c r="T692" t="str">
        <f t="shared" si="53"/>
        <v>In</v>
      </c>
      <c r="U692" t="str">
        <f t="shared" si="50"/>
        <v>y Whit</v>
      </c>
      <c r="V692" t="str">
        <f t="shared" si="54"/>
        <v>91</v>
      </c>
    </row>
    <row r="693" spans="1:22" x14ac:dyDescent="0.3">
      <c r="A693" s="1" t="s">
        <v>1472</v>
      </c>
      <c r="B693" s="1" t="s">
        <v>1473</v>
      </c>
      <c r="C693" s="1" t="s">
        <v>24</v>
      </c>
      <c r="D693">
        <v>43</v>
      </c>
      <c r="E693" s="1" t="s">
        <v>133</v>
      </c>
      <c r="F693" s="1" t="s">
        <v>134</v>
      </c>
      <c r="G693" s="1" t="s">
        <v>57</v>
      </c>
      <c r="H693">
        <v>7</v>
      </c>
      <c r="I693" t="s">
        <v>107</v>
      </c>
      <c r="K693">
        <v>1</v>
      </c>
      <c r="L693">
        <v>0.8</v>
      </c>
      <c r="M693" s="1" t="s">
        <v>20</v>
      </c>
      <c r="N693" s="1" t="s">
        <v>65</v>
      </c>
      <c r="O693">
        <v>11</v>
      </c>
      <c r="P693">
        <v>3</v>
      </c>
      <c r="Q693" t="str">
        <f t="shared" si="51"/>
        <v>NATALIE DIAZ</v>
      </c>
      <c r="R693" t="str">
        <f t="shared" si="52"/>
        <v>russia</v>
      </c>
      <c r="S693" t="str">
        <f>PROPER(global_freelancer_raw[[#This Row],[NAME UPPER]])</f>
        <v>Natalie Diaz</v>
      </c>
      <c r="T693" t="str">
        <f t="shared" si="53"/>
        <v>Ru</v>
      </c>
      <c r="U693" t="str">
        <f t="shared" si="50"/>
        <v>lie Di</v>
      </c>
      <c r="V693" t="str">
        <f t="shared" si="54"/>
        <v>92</v>
      </c>
    </row>
    <row r="694" spans="1:22" x14ac:dyDescent="0.3">
      <c r="A694" s="1" t="s">
        <v>1474</v>
      </c>
      <c r="B694" s="1" t="s">
        <v>1430</v>
      </c>
      <c r="C694" s="1" t="s">
        <v>44</v>
      </c>
      <c r="D694">
        <v>31</v>
      </c>
      <c r="E694" s="1" t="s">
        <v>144</v>
      </c>
      <c r="F694" s="1" t="s">
        <v>145</v>
      </c>
      <c r="G694" s="1" t="s">
        <v>27</v>
      </c>
      <c r="I694">
        <v>50</v>
      </c>
      <c r="J694">
        <v>1.4</v>
      </c>
      <c r="K694" t="s">
        <v>168</v>
      </c>
      <c r="L694">
        <v>0.8</v>
      </c>
      <c r="M694" s="1" t="s">
        <v>77</v>
      </c>
      <c r="N694" s="1" t="s">
        <v>36</v>
      </c>
      <c r="O694">
        <v>5</v>
      </c>
      <c r="P694">
        <v>2</v>
      </c>
      <c r="Q694" t="str">
        <f t="shared" si="51"/>
        <v>AMANDA MITCHELL</v>
      </c>
      <c r="R694" t="str">
        <f t="shared" si="52"/>
        <v>france</v>
      </c>
      <c r="S694" t="str">
        <f>PROPER(global_freelancer_raw[[#This Row],[NAME UPPER]])</f>
        <v>Amanda Mitchell</v>
      </c>
      <c r="T694" t="str">
        <f t="shared" si="53"/>
        <v>Fr</v>
      </c>
      <c r="U694" t="str">
        <f t="shared" si="50"/>
        <v>da Mit</v>
      </c>
      <c r="V694" t="str">
        <f t="shared" si="54"/>
        <v>93</v>
      </c>
    </row>
    <row r="695" spans="1:22" x14ac:dyDescent="0.3">
      <c r="A695" s="1" t="s">
        <v>1475</v>
      </c>
      <c r="B695" s="1" t="s">
        <v>1476</v>
      </c>
      <c r="C695" s="1" t="s">
        <v>24</v>
      </c>
      <c r="D695">
        <v>29</v>
      </c>
      <c r="E695" s="1" t="s">
        <v>33</v>
      </c>
      <c r="F695" s="1" t="s">
        <v>33</v>
      </c>
      <c r="G695" s="1" t="s">
        <v>57</v>
      </c>
      <c r="H695">
        <v>6</v>
      </c>
      <c r="I695">
        <v>100</v>
      </c>
      <c r="J695">
        <v>1.8</v>
      </c>
      <c r="K695" t="s">
        <v>35</v>
      </c>
      <c r="M695" s="1" t="s">
        <v>20</v>
      </c>
      <c r="N695" s="1" t="s">
        <v>29</v>
      </c>
      <c r="O695">
        <v>6</v>
      </c>
      <c r="P695">
        <v>10</v>
      </c>
      <c r="Q695" t="str">
        <f t="shared" si="51"/>
        <v>KAREN SCOTT</v>
      </c>
      <c r="R695" t="str">
        <f t="shared" si="52"/>
        <v>germany</v>
      </c>
      <c r="S695" t="str">
        <f>PROPER(global_freelancer_raw[[#This Row],[NAME UPPER]])</f>
        <v>Karen Scott</v>
      </c>
      <c r="T695" t="str">
        <f t="shared" si="53"/>
        <v>Ge</v>
      </c>
      <c r="U695" t="str">
        <f t="shared" si="50"/>
        <v>n Scot</v>
      </c>
      <c r="V695" t="str">
        <f t="shared" si="54"/>
        <v>94</v>
      </c>
    </row>
    <row r="696" spans="1:22" x14ac:dyDescent="0.3">
      <c r="A696" s="1" t="s">
        <v>1477</v>
      </c>
      <c r="B696" s="1" t="s">
        <v>848</v>
      </c>
      <c r="C696" s="1" t="s">
        <v>24</v>
      </c>
      <c r="D696">
        <v>53</v>
      </c>
      <c r="E696" s="1" t="s">
        <v>162</v>
      </c>
      <c r="F696" s="1" t="s">
        <v>163</v>
      </c>
      <c r="G696" s="1" t="s">
        <v>34</v>
      </c>
      <c r="H696">
        <v>35</v>
      </c>
      <c r="J696">
        <v>0</v>
      </c>
      <c r="K696">
        <v>1</v>
      </c>
      <c r="L696">
        <v>0.67</v>
      </c>
      <c r="M696" s="1" t="s">
        <v>72</v>
      </c>
      <c r="N696" s="1" t="s">
        <v>65</v>
      </c>
      <c r="O696">
        <v>18</v>
      </c>
      <c r="P696">
        <v>9</v>
      </c>
      <c r="Q696" t="str">
        <f t="shared" si="51"/>
        <v>MARY BROWN</v>
      </c>
      <c r="R696" t="str">
        <f t="shared" si="52"/>
        <v>south africa</v>
      </c>
      <c r="S696" t="str">
        <f>PROPER(global_freelancer_raw[[#This Row],[NAME UPPER]])</f>
        <v>Mary Brown</v>
      </c>
      <c r="T696" t="str">
        <f t="shared" si="53"/>
        <v>So</v>
      </c>
      <c r="U696" t="str">
        <f t="shared" si="50"/>
        <v xml:space="preserve"> Brown</v>
      </c>
      <c r="V696" t="str">
        <f t="shared" si="54"/>
        <v>95</v>
      </c>
    </row>
    <row r="697" spans="1:22" x14ac:dyDescent="0.3">
      <c r="A697" s="1" t="s">
        <v>1478</v>
      </c>
      <c r="B697" s="1" t="s">
        <v>1479</v>
      </c>
      <c r="C697" s="1" t="s">
        <v>32</v>
      </c>
      <c r="D697">
        <v>38</v>
      </c>
      <c r="E697" s="1" t="s">
        <v>102</v>
      </c>
      <c r="F697" s="1" t="s">
        <v>103</v>
      </c>
      <c r="G697" s="1" t="s">
        <v>27</v>
      </c>
      <c r="H697">
        <v>1</v>
      </c>
      <c r="I697" t="s">
        <v>61</v>
      </c>
      <c r="J697">
        <v>0</v>
      </c>
      <c r="K697">
        <v>0</v>
      </c>
      <c r="L697">
        <v>0.96</v>
      </c>
      <c r="M697" s="1" t="s">
        <v>51</v>
      </c>
      <c r="N697" s="1" t="s">
        <v>65</v>
      </c>
      <c r="O697">
        <v>2</v>
      </c>
      <c r="P697">
        <v>2</v>
      </c>
      <c r="Q697" t="str">
        <f t="shared" si="51"/>
        <v>JON JONES</v>
      </c>
      <c r="R697" t="str">
        <f t="shared" si="52"/>
        <v>india</v>
      </c>
      <c r="S697" t="str">
        <f>PROPER(global_freelancer_raw[[#This Row],[NAME UPPER]])</f>
        <v>Jon Jones</v>
      </c>
      <c r="T697" t="str">
        <f t="shared" si="53"/>
        <v>In</v>
      </c>
      <c r="U697" t="str">
        <f t="shared" si="50"/>
        <v>Jones</v>
      </c>
      <c r="V697" t="str">
        <f t="shared" si="54"/>
        <v>96</v>
      </c>
    </row>
    <row r="698" spans="1:22" x14ac:dyDescent="0.3">
      <c r="A698" s="1" t="s">
        <v>1480</v>
      </c>
      <c r="B698" s="1" t="s">
        <v>1481</v>
      </c>
      <c r="C698" s="1" t="s">
        <v>106</v>
      </c>
      <c r="D698">
        <v>29</v>
      </c>
      <c r="E698" s="1" t="s">
        <v>199</v>
      </c>
      <c r="F698" s="1" t="s">
        <v>81</v>
      </c>
      <c r="G698" s="1" t="s">
        <v>34</v>
      </c>
      <c r="I698">
        <v>20</v>
      </c>
      <c r="J698">
        <v>0</v>
      </c>
      <c r="K698">
        <v>0</v>
      </c>
      <c r="L698">
        <v>0.9</v>
      </c>
      <c r="M698" s="1" t="s">
        <v>51</v>
      </c>
      <c r="N698" s="1" t="s">
        <v>65</v>
      </c>
      <c r="O698">
        <v>3</v>
      </c>
      <c r="P698">
        <v>3</v>
      </c>
      <c r="Q698" t="str">
        <f t="shared" si="51"/>
        <v>JASON PHILLIPS</v>
      </c>
      <c r="R698" t="str">
        <f t="shared" si="52"/>
        <v>spain</v>
      </c>
      <c r="S698" t="str">
        <f>PROPER(global_freelancer_raw[[#This Row],[NAME UPPER]])</f>
        <v>Jason Phillips</v>
      </c>
      <c r="T698" t="str">
        <f t="shared" si="53"/>
        <v>Sp</v>
      </c>
      <c r="U698" t="str">
        <f t="shared" si="50"/>
        <v>n Phil</v>
      </c>
      <c r="V698" t="str">
        <f t="shared" si="54"/>
        <v>97</v>
      </c>
    </row>
    <row r="699" spans="1:22" x14ac:dyDescent="0.3">
      <c r="A699" s="1" t="s">
        <v>1482</v>
      </c>
      <c r="B699" s="1" t="s">
        <v>1483</v>
      </c>
      <c r="C699" s="1" t="s">
        <v>101</v>
      </c>
      <c r="D699">
        <v>42</v>
      </c>
      <c r="E699" s="1" t="s">
        <v>121</v>
      </c>
      <c r="F699" s="1" t="s">
        <v>122</v>
      </c>
      <c r="G699" s="1" t="s">
        <v>82</v>
      </c>
      <c r="H699">
        <v>0</v>
      </c>
      <c r="J699">
        <v>3.9</v>
      </c>
      <c r="K699" t="b">
        <v>0</v>
      </c>
      <c r="L699">
        <v>0.62</v>
      </c>
      <c r="M699" s="1" t="s">
        <v>51</v>
      </c>
      <c r="N699" s="1" t="s">
        <v>29</v>
      </c>
      <c r="O699">
        <v>5</v>
      </c>
      <c r="P699">
        <v>2</v>
      </c>
      <c r="Q699" t="str">
        <f t="shared" si="51"/>
        <v>ERIC WALSH</v>
      </c>
      <c r="R699" t="str">
        <f t="shared" si="52"/>
        <v>south korea</v>
      </c>
      <c r="S699" t="str">
        <f>PROPER(global_freelancer_raw[[#This Row],[NAME UPPER]])</f>
        <v>Eric Walsh</v>
      </c>
      <c r="T699" t="str">
        <f t="shared" si="53"/>
        <v>So</v>
      </c>
      <c r="U699" t="str">
        <f t="shared" si="50"/>
        <v xml:space="preserve"> Walsh</v>
      </c>
      <c r="V699" t="str">
        <f t="shared" si="54"/>
        <v>98</v>
      </c>
    </row>
    <row r="700" spans="1:22" x14ac:dyDescent="0.3">
      <c r="A700" s="1" t="s">
        <v>1484</v>
      </c>
      <c r="B700" s="1" t="s">
        <v>1485</v>
      </c>
      <c r="C700" s="1" t="s">
        <v>16</v>
      </c>
      <c r="D700">
        <v>54</v>
      </c>
      <c r="E700" s="1" t="s">
        <v>64</v>
      </c>
      <c r="F700" s="1" t="s">
        <v>26</v>
      </c>
      <c r="G700" s="1" t="s">
        <v>123</v>
      </c>
      <c r="H700">
        <v>9</v>
      </c>
      <c r="I700">
        <v>100</v>
      </c>
      <c r="K700" t="s">
        <v>35</v>
      </c>
      <c r="L700">
        <v>0.72</v>
      </c>
      <c r="M700" s="1" t="s">
        <v>77</v>
      </c>
      <c r="N700" s="1" t="s">
        <v>21</v>
      </c>
      <c r="O700">
        <v>13</v>
      </c>
      <c r="P700">
        <v>10</v>
      </c>
      <c r="Q700" t="str">
        <f t="shared" si="51"/>
        <v>CAROL SCHNEIDER</v>
      </c>
      <c r="R700" t="str">
        <f t="shared" si="52"/>
        <v>us</v>
      </c>
      <c r="S700" t="str">
        <f>PROPER(global_freelancer_raw[[#This Row],[NAME UPPER]])</f>
        <v>Carol Schneider</v>
      </c>
      <c r="T700" t="str">
        <f t="shared" si="53"/>
        <v>US</v>
      </c>
      <c r="U700" t="str">
        <f t="shared" si="50"/>
        <v>l Schn</v>
      </c>
      <c r="V700" t="str">
        <f t="shared" si="54"/>
        <v>99</v>
      </c>
    </row>
    <row r="701" spans="1:22" x14ac:dyDescent="0.3">
      <c r="A701" s="1" t="s">
        <v>1486</v>
      </c>
      <c r="B701" s="1" t="s">
        <v>1487</v>
      </c>
      <c r="C701" s="1" t="s">
        <v>68</v>
      </c>
      <c r="D701">
        <v>56</v>
      </c>
      <c r="E701" s="1" t="s">
        <v>184</v>
      </c>
      <c r="F701" s="1" t="s">
        <v>185</v>
      </c>
      <c r="G701" s="1" t="s">
        <v>82</v>
      </c>
      <c r="H701">
        <v>18</v>
      </c>
      <c r="I701" t="s">
        <v>107</v>
      </c>
      <c r="J701">
        <v>4.4000000000000004</v>
      </c>
      <c r="K701" t="s">
        <v>83</v>
      </c>
      <c r="L701">
        <v>0.83</v>
      </c>
      <c r="M701" s="1" t="s">
        <v>20</v>
      </c>
      <c r="N701" s="1" t="s">
        <v>29</v>
      </c>
      <c r="O701">
        <v>18</v>
      </c>
      <c r="P701">
        <v>10</v>
      </c>
      <c r="Q701" t="str">
        <f t="shared" si="51"/>
        <v>JUAN HINES</v>
      </c>
      <c r="R701" t="str">
        <f t="shared" si="52"/>
        <v>china</v>
      </c>
      <c r="S701" t="str">
        <f>PROPER(global_freelancer_raw[[#This Row],[NAME UPPER]])</f>
        <v>Juan Hines</v>
      </c>
      <c r="T701" t="str">
        <f t="shared" si="53"/>
        <v>Ch</v>
      </c>
      <c r="U701" t="str">
        <f t="shared" si="50"/>
        <v xml:space="preserve"> Hines</v>
      </c>
      <c r="V701" t="str">
        <f t="shared" si="54"/>
        <v>00</v>
      </c>
    </row>
    <row r="702" spans="1:22" x14ac:dyDescent="0.3">
      <c r="A702" s="1" t="s">
        <v>1488</v>
      </c>
      <c r="B702" s="1" t="s">
        <v>1489</v>
      </c>
      <c r="C702" s="1" t="s">
        <v>16</v>
      </c>
      <c r="D702">
        <v>47</v>
      </c>
      <c r="E702" s="1" t="s">
        <v>69</v>
      </c>
      <c r="F702" s="1" t="s">
        <v>70</v>
      </c>
      <c r="G702" s="1" t="s">
        <v>34</v>
      </c>
      <c r="H702">
        <v>22</v>
      </c>
      <c r="I702">
        <v>100</v>
      </c>
      <c r="J702">
        <v>4.4000000000000004</v>
      </c>
      <c r="K702" t="s">
        <v>168</v>
      </c>
      <c r="L702">
        <v>0.7</v>
      </c>
      <c r="M702" s="1" t="s">
        <v>72</v>
      </c>
      <c r="N702" s="1" t="s">
        <v>36</v>
      </c>
      <c r="O702">
        <v>17</v>
      </c>
      <c r="P702">
        <v>16</v>
      </c>
      <c r="Q702" t="str">
        <f t="shared" si="51"/>
        <v>MARTHA SWEENEY</v>
      </c>
      <c r="R702" t="str">
        <f t="shared" si="52"/>
        <v>turkey</v>
      </c>
      <c r="S702" t="str">
        <f>PROPER(global_freelancer_raw[[#This Row],[NAME UPPER]])</f>
        <v>Martha Sweeney</v>
      </c>
      <c r="T702" t="str">
        <f t="shared" si="53"/>
        <v>Tu</v>
      </c>
      <c r="U702" t="str">
        <f t="shared" si="50"/>
        <v>ha Swe</v>
      </c>
      <c r="V702" t="str">
        <f t="shared" si="54"/>
        <v>01</v>
      </c>
    </row>
    <row r="703" spans="1:22" x14ac:dyDescent="0.3">
      <c r="A703" s="1" t="s">
        <v>1490</v>
      </c>
      <c r="B703" s="1" t="s">
        <v>1491</v>
      </c>
      <c r="C703" s="1" t="s">
        <v>54</v>
      </c>
      <c r="D703">
        <v>45</v>
      </c>
      <c r="E703" s="1" t="s">
        <v>133</v>
      </c>
      <c r="F703" s="1" t="s">
        <v>134</v>
      </c>
      <c r="G703" s="1" t="s">
        <v>19</v>
      </c>
      <c r="H703">
        <v>25</v>
      </c>
      <c r="I703">
        <v>50</v>
      </c>
      <c r="J703">
        <v>0</v>
      </c>
      <c r="K703" t="s">
        <v>168</v>
      </c>
      <c r="L703">
        <v>99</v>
      </c>
      <c r="M703" s="1" t="s">
        <v>20</v>
      </c>
      <c r="N703" s="1" t="s">
        <v>36</v>
      </c>
      <c r="O703">
        <v>17</v>
      </c>
      <c r="P703">
        <v>3</v>
      </c>
      <c r="Q703" t="str">
        <f t="shared" si="51"/>
        <v>JASON WEAVER</v>
      </c>
      <c r="R703" t="str">
        <f t="shared" si="52"/>
        <v>russia</v>
      </c>
      <c r="S703" t="str">
        <f>PROPER(global_freelancer_raw[[#This Row],[NAME UPPER]])</f>
        <v>Jason Weaver</v>
      </c>
      <c r="T703" t="str">
        <f t="shared" si="53"/>
        <v>Ru</v>
      </c>
      <c r="U703" t="str">
        <f t="shared" si="50"/>
        <v>n Weav</v>
      </c>
      <c r="V703" t="str">
        <f t="shared" si="54"/>
        <v>02</v>
      </c>
    </row>
    <row r="704" spans="1:22" x14ac:dyDescent="0.3">
      <c r="A704" s="1" t="s">
        <v>1492</v>
      </c>
      <c r="B704" s="1" t="s">
        <v>1493</v>
      </c>
      <c r="C704" s="1" t="s">
        <v>101</v>
      </c>
      <c r="D704">
        <v>45</v>
      </c>
      <c r="E704" s="1" t="s">
        <v>184</v>
      </c>
      <c r="F704" s="1" t="s">
        <v>185</v>
      </c>
      <c r="G704" s="1" t="s">
        <v>57</v>
      </c>
      <c r="H704">
        <v>6</v>
      </c>
      <c r="I704">
        <v>50</v>
      </c>
      <c r="J704">
        <v>1.4</v>
      </c>
      <c r="L704">
        <v>97</v>
      </c>
      <c r="M704" s="1" t="s">
        <v>20</v>
      </c>
      <c r="N704" s="1" t="s">
        <v>29</v>
      </c>
      <c r="O704">
        <v>6</v>
      </c>
      <c r="P704">
        <v>5</v>
      </c>
      <c r="Q704" t="str">
        <f t="shared" si="51"/>
        <v>BENJAMIN STEVENS</v>
      </c>
      <c r="R704" t="str">
        <f t="shared" si="52"/>
        <v>china</v>
      </c>
      <c r="S704" t="str">
        <f>PROPER(global_freelancer_raw[[#This Row],[NAME UPPER]])</f>
        <v>Benjamin Stevens</v>
      </c>
      <c r="T704" t="str">
        <f t="shared" si="53"/>
        <v>Ch</v>
      </c>
      <c r="U704" t="str">
        <f t="shared" si="50"/>
        <v>amin S</v>
      </c>
      <c r="V704" t="str">
        <f t="shared" si="54"/>
        <v>03</v>
      </c>
    </row>
    <row r="705" spans="1:22" x14ac:dyDescent="0.3">
      <c r="A705" s="1" t="s">
        <v>1494</v>
      </c>
      <c r="B705" s="1" t="s">
        <v>1495</v>
      </c>
      <c r="C705" s="1" t="s">
        <v>101</v>
      </c>
      <c r="D705">
        <v>35</v>
      </c>
      <c r="E705" s="1" t="s">
        <v>137</v>
      </c>
      <c r="F705" s="1" t="s">
        <v>26</v>
      </c>
      <c r="G705" s="1" t="s">
        <v>123</v>
      </c>
      <c r="H705">
        <v>10</v>
      </c>
      <c r="I705">
        <v>20</v>
      </c>
      <c r="J705">
        <v>3.2</v>
      </c>
      <c r="K705" t="b">
        <v>1</v>
      </c>
      <c r="L705">
        <v>0.77</v>
      </c>
      <c r="M705" s="1" t="s">
        <v>20</v>
      </c>
      <c r="N705" s="1" t="s">
        <v>29</v>
      </c>
      <c r="O705">
        <v>6</v>
      </c>
      <c r="P705">
        <v>10</v>
      </c>
      <c r="Q705" t="str">
        <f t="shared" si="51"/>
        <v>DANIEL LOPEZ</v>
      </c>
      <c r="R705" t="str">
        <f t="shared" si="52"/>
        <v>canada</v>
      </c>
      <c r="S705" t="str">
        <f>PROPER(global_freelancer_raw[[#This Row],[NAME UPPER]])</f>
        <v>Daniel Lopez</v>
      </c>
      <c r="T705" t="str">
        <f t="shared" si="53"/>
        <v>Ca</v>
      </c>
      <c r="U705" t="str">
        <f t="shared" si="50"/>
        <v>el Lop</v>
      </c>
      <c r="V705" t="str">
        <f t="shared" si="54"/>
        <v>04</v>
      </c>
    </row>
    <row r="706" spans="1:22" x14ac:dyDescent="0.3">
      <c r="A706" s="1" t="s">
        <v>1496</v>
      </c>
      <c r="B706" s="1" t="s">
        <v>1497</v>
      </c>
      <c r="C706" s="1" t="s">
        <v>32</v>
      </c>
      <c r="D706">
        <v>51</v>
      </c>
      <c r="E706" s="1" t="s">
        <v>137</v>
      </c>
      <c r="F706" s="1" t="s">
        <v>26</v>
      </c>
      <c r="G706" s="1" t="s">
        <v>98</v>
      </c>
      <c r="H706">
        <v>4</v>
      </c>
      <c r="I706" t="s">
        <v>107</v>
      </c>
      <c r="J706">
        <v>2</v>
      </c>
      <c r="K706" t="s">
        <v>168</v>
      </c>
      <c r="L706">
        <v>0.92</v>
      </c>
      <c r="M706" s="1" t="s">
        <v>51</v>
      </c>
      <c r="N706" s="1" t="s">
        <v>65</v>
      </c>
      <c r="O706">
        <v>2</v>
      </c>
      <c r="P706">
        <v>2</v>
      </c>
      <c r="Q706" t="str">
        <f t="shared" si="51"/>
        <v>JOHN SIMPSON</v>
      </c>
      <c r="R706" t="str">
        <f t="shared" si="52"/>
        <v>canada</v>
      </c>
      <c r="S706" t="str">
        <f>PROPER(global_freelancer_raw[[#This Row],[NAME UPPER]])</f>
        <v>John Simpson</v>
      </c>
      <c r="T706" t="str">
        <f t="shared" si="53"/>
        <v>Ca</v>
      </c>
      <c r="U706" t="str">
        <f t="shared" ref="U706:U769" si="55">MID(B706,5,6)</f>
        <v xml:space="preserve"> Simps</v>
      </c>
      <c r="V706" t="str">
        <f t="shared" si="54"/>
        <v>05</v>
      </c>
    </row>
    <row r="707" spans="1:22" x14ac:dyDescent="0.3">
      <c r="A707" s="1" t="s">
        <v>1498</v>
      </c>
      <c r="B707" s="1" t="s">
        <v>1499</v>
      </c>
      <c r="C707" s="1" t="s">
        <v>39</v>
      </c>
      <c r="D707">
        <v>34</v>
      </c>
      <c r="E707" s="1" t="s">
        <v>199</v>
      </c>
      <c r="F707" s="1" t="s">
        <v>81</v>
      </c>
      <c r="G707" s="1" t="s">
        <v>27</v>
      </c>
      <c r="H707">
        <v>11</v>
      </c>
      <c r="I707">
        <v>50</v>
      </c>
      <c r="J707">
        <v>3.3</v>
      </c>
      <c r="K707" t="s">
        <v>76</v>
      </c>
      <c r="L707">
        <v>0.76</v>
      </c>
      <c r="M707" s="1" t="s">
        <v>72</v>
      </c>
      <c r="N707" s="1" t="s">
        <v>29</v>
      </c>
      <c r="O707">
        <v>9</v>
      </c>
      <c r="P707">
        <v>4</v>
      </c>
      <c r="Q707" t="str">
        <f t="shared" ref="Q707:Q770" si="56">UPPER(B707)</f>
        <v>KATRINA SCHULTZ</v>
      </c>
      <c r="R707" t="str">
        <f t="shared" ref="R707:R770" si="57">LOWER(E707)</f>
        <v>spain</v>
      </c>
      <c r="S707" t="str">
        <f>PROPER(global_freelancer_raw[[#This Row],[NAME UPPER]])</f>
        <v>Katrina Schultz</v>
      </c>
      <c r="T707" t="str">
        <f t="shared" ref="T707:T770" si="58">LEFT(E707,"2")</f>
        <v>Sp</v>
      </c>
      <c r="U707" t="str">
        <f t="shared" si="55"/>
        <v>ina Sc</v>
      </c>
      <c r="V707" t="str">
        <f t="shared" ref="V707:V770" si="59">RIGHT(A707,"2")</f>
        <v>06</v>
      </c>
    </row>
    <row r="708" spans="1:22" x14ac:dyDescent="0.3">
      <c r="A708" s="1" t="s">
        <v>1500</v>
      </c>
      <c r="B708" s="1" t="s">
        <v>1501</v>
      </c>
      <c r="C708" s="1" t="s">
        <v>24</v>
      </c>
      <c r="D708">
        <v>51</v>
      </c>
      <c r="E708" s="1" t="s">
        <v>55</v>
      </c>
      <c r="F708" s="1" t="s">
        <v>56</v>
      </c>
      <c r="G708" s="1" t="s">
        <v>34</v>
      </c>
      <c r="H708">
        <v>1</v>
      </c>
      <c r="I708" t="s">
        <v>71</v>
      </c>
      <c r="J708">
        <v>0</v>
      </c>
      <c r="K708" t="s">
        <v>83</v>
      </c>
      <c r="L708">
        <v>0.97</v>
      </c>
      <c r="M708" s="1" t="s">
        <v>72</v>
      </c>
      <c r="N708" s="1" t="s">
        <v>65</v>
      </c>
      <c r="O708">
        <v>1</v>
      </c>
      <c r="P708">
        <v>1</v>
      </c>
      <c r="Q708" t="str">
        <f t="shared" si="56"/>
        <v>DANIELLE BELL</v>
      </c>
      <c r="R708" t="str">
        <f t="shared" si="57"/>
        <v>indonesia</v>
      </c>
      <c r="S708" t="str">
        <f>PROPER(global_freelancer_raw[[#This Row],[NAME UPPER]])</f>
        <v>Danielle Bell</v>
      </c>
      <c r="T708" t="str">
        <f t="shared" si="58"/>
        <v>In</v>
      </c>
      <c r="U708" t="str">
        <f t="shared" si="55"/>
        <v>elle B</v>
      </c>
      <c r="V708" t="str">
        <f t="shared" si="59"/>
        <v>07</v>
      </c>
    </row>
    <row r="709" spans="1:22" x14ac:dyDescent="0.3">
      <c r="A709" s="1" t="s">
        <v>1502</v>
      </c>
      <c r="B709" s="1" t="s">
        <v>1503</v>
      </c>
      <c r="C709" s="1" t="s">
        <v>101</v>
      </c>
      <c r="D709">
        <v>58</v>
      </c>
      <c r="E709" s="1" t="s">
        <v>148</v>
      </c>
      <c r="F709" s="1" t="s">
        <v>149</v>
      </c>
      <c r="G709" s="1" t="s">
        <v>34</v>
      </c>
      <c r="H709">
        <v>35</v>
      </c>
      <c r="I709" t="s">
        <v>28</v>
      </c>
      <c r="J709">
        <v>2.2999999999999998</v>
      </c>
      <c r="K709" t="s">
        <v>83</v>
      </c>
      <c r="M709" s="1" t="s">
        <v>20</v>
      </c>
      <c r="N709" s="1" t="s">
        <v>36</v>
      </c>
      <c r="O709">
        <v>16</v>
      </c>
      <c r="P709">
        <v>5</v>
      </c>
      <c r="Q709" t="str">
        <f t="shared" si="56"/>
        <v>JASON BRADY</v>
      </c>
      <c r="R709" t="str">
        <f t="shared" si="57"/>
        <v>egypt</v>
      </c>
      <c r="S709" t="str">
        <f>PROPER(global_freelancer_raw[[#This Row],[NAME UPPER]])</f>
        <v>Jason Brady</v>
      </c>
      <c r="T709" t="str">
        <f t="shared" si="58"/>
        <v>Eg</v>
      </c>
      <c r="U709" t="str">
        <f t="shared" si="55"/>
        <v>n Brad</v>
      </c>
      <c r="V709" t="str">
        <f t="shared" si="59"/>
        <v>08</v>
      </c>
    </row>
    <row r="710" spans="1:22" x14ac:dyDescent="0.3">
      <c r="A710" s="1" t="s">
        <v>1504</v>
      </c>
      <c r="B710" s="1" t="s">
        <v>1505</v>
      </c>
      <c r="C710" s="1" t="s">
        <v>16</v>
      </c>
      <c r="D710">
        <v>36</v>
      </c>
      <c r="E710" s="1" t="s">
        <v>47</v>
      </c>
      <c r="F710" s="1" t="s">
        <v>48</v>
      </c>
      <c r="G710" s="1" t="s">
        <v>40</v>
      </c>
      <c r="H710">
        <v>17</v>
      </c>
      <c r="I710" t="s">
        <v>130</v>
      </c>
      <c r="J710">
        <v>0</v>
      </c>
      <c r="K710">
        <v>1</v>
      </c>
      <c r="L710">
        <v>99</v>
      </c>
      <c r="M710" s="1" t="s">
        <v>51</v>
      </c>
      <c r="N710" s="1" t="s">
        <v>65</v>
      </c>
      <c r="O710">
        <v>12</v>
      </c>
      <c r="P710">
        <v>8</v>
      </c>
      <c r="Q710" t="str">
        <f t="shared" si="56"/>
        <v>MEGAN BRIGHT</v>
      </c>
      <c r="R710" t="str">
        <f t="shared" si="57"/>
        <v>netherlands</v>
      </c>
      <c r="S710" t="str">
        <f>PROPER(global_freelancer_raw[[#This Row],[NAME UPPER]])</f>
        <v>Megan Bright</v>
      </c>
      <c r="T710" t="str">
        <f t="shared" si="58"/>
        <v>Ne</v>
      </c>
      <c r="U710" t="str">
        <f t="shared" si="55"/>
        <v>n Brig</v>
      </c>
      <c r="V710" t="str">
        <f t="shared" si="59"/>
        <v>09</v>
      </c>
    </row>
    <row r="711" spans="1:22" x14ac:dyDescent="0.3">
      <c r="A711" s="1" t="s">
        <v>1506</v>
      </c>
      <c r="B711" s="1" t="s">
        <v>1507</v>
      </c>
      <c r="C711" s="1" t="s">
        <v>68</v>
      </c>
      <c r="E711" s="1" t="s">
        <v>133</v>
      </c>
      <c r="F711" s="1" t="s">
        <v>134</v>
      </c>
      <c r="G711" s="1" t="s">
        <v>49</v>
      </c>
      <c r="H711">
        <v>12</v>
      </c>
      <c r="I711">
        <v>30</v>
      </c>
      <c r="J711">
        <v>2.6</v>
      </c>
      <c r="K711" t="s">
        <v>83</v>
      </c>
      <c r="M711" s="1" t="s">
        <v>51</v>
      </c>
      <c r="N711" s="1" t="s">
        <v>29</v>
      </c>
      <c r="O711">
        <v>6</v>
      </c>
      <c r="P711">
        <v>10</v>
      </c>
      <c r="Q711" t="str">
        <f t="shared" si="56"/>
        <v>DAVID GRIFFIN</v>
      </c>
      <c r="R711" t="str">
        <f t="shared" si="57"/>
        <v>russia</v>
      </c>
      <c r="S711" t="str">
        <f>PROPER(global_freelancer_raw[[#This Row],[NAME UPPER]])</f>
        <v>David Griffin</v>
      </c>
      <c r="T711" t="str">
        <f t="shared" si="58"/>
        <v>Ru</v>
      </c>
      <c r="U711" t="str">
        <f t="shared" si="55"/>
        <v>d Grif</v>
      </c>
      <c r="V711" t="str">
        <f t="shared" si="59"/>
        <v>10</v>
      </c>
    </row>
    <row r="712" spans="1:22" x14ac:dyDescent="0.3">
      <c r="A712" s="1" t="s">
        <v>1508</v>
      </c>
      <c r="B712" s="1" t="s">
        <v>1509</v>
      </c>
      <c r="C712" s="1" t="s">
        <v>101</v>
      </c>
      <c r="D712">
        <v>56</v>
      </c>
      <c r="E712" s="1" t="s">
        <v>162</v>
      </c>
      <c r="F712" s="1" t="s">
        <v>163</v>
      </c>
      <c r="G712" s="1" t="s">
        <v>123</v>
      </c>
      <c r="H712">
        <v>30</v>
      </c>
      <c r="I712">
        <v>40</v>
      </c>
      <c r="J712">
        <v>3.3</v>
      </c>
      <c r="K712" t="s">
        <v>76</v>
      </c>
      <c r="L712">
        <v>0.82</v>
      </c>
      <c r="M712" s="1" t="s">
        <v>72</v>
      </c>
      <c r="N712" s="1" t="s">
        <v>36</v>
      </c>
      <c r="O712">
        <v>12</v>
      </c>
      <c r="P712">
        <v>3</v>
      </c>
      <c r="Q712" t="str">
        <f t="shared" si="56"/>
        <v>MICHAEL CLARK</v>
      </c>
      <c r="R712" t="str">
        <f t="shared" si="57"/>
        <v>south africa</v>
      </c>
      <c r="S712" t="str">
        <f>PROPER(global_freelancer_raw[[#This Row],[NAME UPPER]])</f>
        <v>Michael Clark</v>
      </c>
      <c r="T712" t="str">
        <f t="shared" si="58"/>
        <v>So</v>
      </c>
      <c r="U712" t="str">
        <f t="shared" si="55"/>
        <v>ael Cl</v>
      </c>
      <c r="V712" t="str">
        <f t="shared" si="59"/>
        <v>11</v>
      </c>
    </row>
    <row r="713" spans="1:22" x14ac:dyDescent="0.3">
      <c r="A713" s="1" t="s">
        <v>1510</v>
      </c>
      <c r="B713" s="1" t="s">
        <v>1511</v>
      </c>
      <c r="C713" s="1" t="s">
        <v>16</v>
      </c>
      <c r="D713">
        <v>58</v>
      </c>
      <c r="E713" s="1" t="s">
        <v>137</v>
      </c>
      <c r="F713" s="1" t="s">
        <v>26</v>
      </c>
      <c r="G713" s="1" t="s">
        <v>87</v>
      </c>
      <c r="H713">
        <v>20</v>
      </c>
      <c r="I713">
        <v>75</v>
      </c>
      <c r="J713">
        <v>3.6</v>
      </c>
      <c r="K713" t="s">
        <v>76</v>
      </c>
      <c r="L713">
        <v>0.78</v>
      </c>
      <c r="M713" s="1" t="s">
        <v>51</v>
      </c>
      <c r="N713" s="1" t="s">
        <v>21</v>
      </c>
      <c r="O713">
        <v>11</v>
      </c>
      <c r="P713">
        <v>13</v>
      </c>
      <c r="Q713" t="str">
        <f t="shared" si="56"/>
        <v>REBECCA BARKER</v>
      </c>
      <c r="R713" t="str">
        <f t="shared" si="57"/>
        <v>canada</v>
      </c>
      <c r="S713" t="str">
        <f>PROPER(global_freelancer_raw[[#This Row],[NAME UPPER]])</f>
        <v>Rebecca Barker</v>
      </c>
      <c r="T713" t="str">
        <f t="shared" si="58"/>
        <v>Ca</v>
      </c>
      <c r="U713" t="str">
        <f t="shared" si="55"/>
        <v>cca Ba</v>
      </c>
      <c r="V713" t="str">
        <f t="shared" si="59"/>
        <v>12</v>
      </c>
    </row>
    <row r="714" spans="1:22" x14ac:dyDescent="0.3">
      <c r="A714" s="1" t="s">
        <v>1512</v>
      </c>
      <c r="B714" s="1" t="s">
        <v>1513</v>
      </c>
      <c r="C714" s="1" t="s">
        <v>16</v>
      </c>
      <c r="D714">
        <v>58</v>
      </c>
      <c r="E714" s="1" t="s">
        <v>64</v>
      </c>
      <c r="F714" s="1" t="s">
        <v>26</v>
      </c>
      <c r="G714" s="1" t="s">
        <v>87</v>
      </c>
      <c r="H714">
        <v>22</v>
      </c>
      <c r="I714">
        <v>100</v>
      </c>
      <c r="J714">
        <v>3.7</v>
      </c>
      <c r="K714">
        <v>0</v>
      </c>
      <c r="M714" s="1" t="s">
        <v>51</v>
      </c>
      <c r="N714" s="1" t="s">
        <v>65</v>
      </c>
      <c r="O714">
        <v>13</v>
      </c>
      <c r="P714">
        <v>8</v>
      </c>
      <c r="Q714" t="str">
        <f t="shared" si="56"/>
        <v>ANGELA SMITH</v>
      </c>
      <c r="R714" t="str">
        <f t="shared" si="57"/>
        <v>us</v>
      </c>
      <c r="S714" t="str">
        <f>PROPER(global_freelancer_raw[[#This Row],[NAME UPPER]])</f>
        <v>Angela Smith</v>
      </c>
      <c r="T714" t="str">
        <f t="shared" si="58"/>
        <v>US</v>
      </c>
      <c r="U714" t="str">
        <f t="shared" si="55"/>
        <v>la Smi</v>
      </c>
      <c r="V714" t="str">
        <f t="shared" si="59"/>
        <v>13</v>
      </c>
    </row>
    <row r="715" spans="1:22" x14ac:dyDescent="0.3">
      <c r="A715" s="1" t="s">
        <v>1514</v>
      </c>
      <c r="B715" s="1" t="s">
        <v>1515</v>
      </c>
      <c r="C715" s="1" t="s">
        <v>39</v>
      </c>
      <c r="D715">
        <v>54</v>
      </c>
      <c r="E715" s="1" t="s">
        <v>75</v>
      </c>
      <c r="F715" s="1" t="s">
        <v>26</v>
      </c>
      <c r="G715" s="1" t="s">
        <v>49</v>
      </c>
      <c r="H715">
        <v>32</v>
      </c>
      <c r="I715" t="s">
        <v>130</v>
      </c>
      <c r="J715">
        <v>3.4</v>
      </c>
      <c r="K715" t="s">
        <v>168</v>
      </c>
      <c r="M715" s="1" t="s">
        <v>51</v>
      </c>
      <c r="N715" s="1" t="s">
        <v>36</v>
      </c>
      <c r="O715">
        <v>11</v>
      </c>
      <c r="P715">
        <v>15</v>
      </c>
      <c r="Q715" t="str">
        <f t="shared" si="56"/>
        <v>CHRISTINA WRIGHT</v>
      </c>
      <c r="R715" t="str">
        <f t="shared" si="57"/>
        <v>uk</v>
      </c>
      <c r="S715" t="str">
        <f>PROPER(global_freelancer_raw[[#This Row],[NAME UPPER]])</f>
        <v>Christina Wright</v>
      </c>
      <c r="T715" t="str">
        <f t="shared" si="58"/>
        <v>UK</v>
      </c>
      <c r="U715" t="str">
        <f t="shared" si="55"/>
        <v xml:space="preserve">stina </v>
      </c>
      <c r="V715" t="str">
        <f t="shared" si="59"/>
        <v>14</v>
      </c>
    </row>
    <row r="716" spans="1:22" x14ac:dyDescent="0.3">
      <c r="A716" s="1" t="s">
        <v>1516</v>
      </c>
      <c r="B716" s="1" t="s">
        <v>1517</v>
      </c>
      <c r="C716" s="1" t="s">
        <v>32</v>
      </c>
      <c r="D716">
        <v>53</v>
      </c>
      <c r="E716" s="1" t="s">
        <v>25</v>
      </c>
      <c r="F716" s="1" t="s">
        <v>26</v>
      </c>
      <c r="G716" s="1" t="s">
        <v>82</v>
      </c>
      <c r="H716">
        <v>9</v>
      </c>
      <c r="I716">
        <v>50</v>
      </c>
      <c r="J716">
        <v>4</v>
      </c>
      <c r="K716" t="s">
        <v>83</v>
      </c>
      <c r="L716">
        <v>0.72</v>
      </c>
      <c r="M716" s="1" t="s">
        <v>77</v>
      </c>
      <c r="N716" s="1" t="s">
        <v>65</v>
      </c>
      <c r="O716">
        <v>14</v>
      </c>
      <c r="P716">
        <v>2</v>
      </c>
      <c r="Q716" t="str">
        <f t="shared" si="56"/>
        <v>TODD TURNER</v>
      </c>
      <c r="R716" t="str">
        <f t="shared" si="57"/>
        <v>australia</v>
      </c>
      <c r="S716" t="str">
        <f>PROPER(global_freelancer_raw[[#This Row],[NAME UPPER]])</f>
        <v>Todd Turner</v>
      </c>
      <c r="T716" t="str">
        <f t="shared" si="58"/>
        <v>Au</v>
      </c>
      <c r="U716" t="str">
        <f t="shared" si="55"/>
        <v xml:space="preserve"> Turne</v>
      </c>
      <c r="V716" t="str">
        <f t="shared" si="59"/>
        <v>15</v>
      </c>
    </row>
    <row r="717" spans="1:22" x14ac:dyDescent="0.3">
      <c r="A717" s="1" t="s">
        <v>1518</v>
      </c>
      <c r="B717" s="1" t="s">
        <v>1519</v>
      </c>
      <c r="C717" s="1" t="s">
        <v>86</v>
      </c>
      <c r="D717">
        <v>43</v>
      </c>
      <c r="E717" s="1" t="s">
        <v>25</v>
      </c>
      <c r="F717" s="1" t="s">
        <v>26</v>
      </c>
      <c r="G717" s="1" t="s">
        <v>40</v>
      </c>
      <c r="H717">
        <v>22</v>
      </c>
      <c r="I717">
        <v>40</v>
      </c>
      <c r="J717">
        <v>4.5</v>
      </c>
      <c r="M717" s="1" t="s">
        <v>20</v>
      </c>
      <c r="N717" s="1" t="s">
        <v>36</v>
      </c>
      <c r="O717">
        <v>16</v>
      </c>
      <c r="P717">
        <v>6</v>
      </c>
      <c r="Q717" t="str">
        <f t="shared" si="56"/>
        <v>ELIZABETH GREEN</v>
      </c>
      <c r="R717" t="str">
        <f t="shared" si="57"/>
        <v>australia</v>
      </c>
      <c r="S717" t="str">
        <f>PROPER(global_freelancer_raw[[#This Row],[NAME UPPER]])</f>
        <v>Elizabeth Green</v>
      </c>
      <c r="T717" t="str">
        <f t="shared" si="58"/>
        <v>Au</v>
      </c>
      <c r="U717" t="str">
        <f t="shared" si="55"/>
        <v xml:space="preserve">abeth </v>
      </c>
      <c r="V717" t="str">
        <f t="shared" si="59"/>
        <v>16</v>
      </c>
    </row>
    <row r="718" spans="1:22" x14ac:dyDescent="0.3">
      <c r="A718" s="1" t="s">
        <v>1520</v>
      </c>
      <c r="B718" s="1" t="s">
        <v>1521</v>
      </c>
      <c r="C718" s="1" t="s">
        <v>101</v>
      </c>
      <c r="D718">
        <v>44</v>
      </c>
      <c r="E718" s="1" t="s">
        <v>121</v>
      </c>
      <c r="F718" s="1" t="s">
        <v>122</v>
      </c>
      <c r="G718" s="1" t="s">
        <v>123</v>
      </c>
      <c r="H718">
        <v>1</v>
      </c>
      <c r="I718">
        <v>75</v>
      </c>
      <c r="J718">
        <v>4.3</v>
      </c>
      <c r="K718">
        <v>1</v>
      </c>
      <c r="M718" s="1" t="s">
        <v>72</v>
      </c>
      <c r="N718" s="1" t="s">
        <v>36</v>
      </c>
      <c r="O718">
        <v>1</v>
      </c>
      <c r="P718">
        <v>1</v>
      </c>
      <c r="Q718" t="str">
        <f t="shared" si="56"/>
        <v>ALEX SMITH</v>
      </c>
      <c r="R718" t="str">
        <f t="shared" si="57"/>
        <v>south korea</v>
      </c>
      <c r="S718" t="str">
        <f>PROPER(global_freelancer_raw[[#This Row],[NAME UPPER]])</f>
        <v>Alex Smith</v>
      </c>
      <c r="T718" t="str">
        <f t="shared" si="58"/>
        <v>So</v>
      </c>
      <c r="U718" t="str">
        <f t="shared" si="55"/>
        <v xml:space="preserve"> Smith</v>
      </c>
      <c r="V718" t="str">
        <f t="shared" si="59"/>
        <v>17</v>
      </c>
    </row>
    <row r="719" spans="1:22" x14ac:dyDescent="0.3">
      <c r="A719" s="1" t="s">
        <v>1522</v>
      </c>
      <c r="B719" s="1" t="s">
        <v>1523</v>
      </c>
      <c r="C719" s="1" t="s">
        <v>101</v>
      </c>
      <c r="D719">
        <v>34</v>
      </c>
      <c r="E719" s="1" t="s">
        <v>137</v>
      </c>
      <c r="F719" s="1" t="s">
        <v>26</v>
      </c>
      <c r="G719" s="1" t="s">
        <v>87</v>
      </c>
      <c r="H719">
        <v>4</v>
      </c>
      <c r="I719">
        <v>75</v>
      </c>
      <c r="J719">
        <v>4</v>
      </c>
      <c r="K719">
        <v>1</v>
      </c>
      <c r="M719" s="1" t="s">
        <v>72</v>
      </c>
      <c r="N719" s="1" t="s">
        <v>65</v>
      </c>
      <c r="O719">
        <v>3</v>
      </c>
      <c r="P719">
        <v>2</v>
      </c>
      <c r="Q719" t="str">
        <f t="shared" si="56"/>
        <v>SHANE HALE</v>
      </c>
      <c r="R719" t="str">
        <f t="shared" si="57"/>
        <v>canada</v>
      </c>
      <c r="S719" t="str">
        <f>PROPER(global_freelancer_raw[[#This Row],[NAME UPPER]])</f>
        <v>Shane Hale</v>
      </c>
      <c r="T719" t="str">
        <f t="shared" si="58"/>
        <v>Ca</v>
      </c>
      <c r="U719" t="str">
        <f t="shared" si="55"/>
        <v>e Hale</v>
      </c>
      <c r="V719" t="str">
        <f t="shared" si="59"/>
        <v>18</v>
      </c>
    </row>
    <row r="720" spans="1:22" x14ac:dyDescent="0.3">
      <c r="A720" s="1" t="s">
        <v>1524</v>
      </c>
      <c r="B720" s="1" t="s">
        <v>1525</v>
      </c>
      <c r="C720" s="1" t="s">
        <v>44</v>
      </c>
      <c r="D720">
        <v>27</v>
      </c>
      <c r="E720" s="1" t="s">
        <v>116</v>
      </c>
      <c r="F720" s="1" t="s">
        <v>117</v>
      </c>
      <c r="G720" s="1" t="s">
        <v>27</v>
      </c>
      <c r="H720">
        <v>8</v>
      </c>
      <c r="I720" t="s">
        <v>71</v>
      </c>
      <c r="J720">
        <v>1.6</v>
      </c>
      <c r="K720" t="s">
        <v>76</v>
      </c>
      <c r="M720" s="1" t="s">
        <v>77</v>
      </c>
      <c r="N720" s="1" t="s">
        <v>21</v>
      </c>
      <c r="O720">
        <v>15</v>
      </c>
      <c r="P720">
        <v>5</v>
      </c>
      <c r="Q720" t="str">
        <f t="shared" si="56"/>
        <v>KATHY GRIMES</v>
      </c>
      <c r="R720" t="str">
        <f t="shared" si="57"/>
        <v>brazil</v>
      </c>
      <c r="S720" t="str">
        <f>PROPER(global_freelancer_raw[[#This Row],[NAME UPPER]])</f>
        <v>Kathy Grimes</v>
      </c>
      <c r="T720" t="str">
        <f t="shared" si="58"/>
        <v>Br</v>
      </c>
      <c r="U720" t="str">
        <f t="shared" si="55"/>
        <v>y Grim</v>
      </c>
      <c r="V720" t="str">
        <f t="shared" si="59"/>
        <v>19</v>
      </c>
    </row>
    <row r="721" spans="1:22" x14ac:dyDescent="0.3">
      <c r="A721" s="1" t="s">
        <v>1526</v>
      </c>
      <c r="B721" s="1" t="s">
        <v>1527</v>
      </c>
      <c r="C721" s="1" t="s">
        <v>54</v>
      </c>
      <c r="D721">
        <v>50</v>
      </c>
      <c r="E721" s="1" t="s">
        <v>94</v>
      </c>
      <c r="F721" s="1" t="s">
        <v>95</v>
      </c>
      <c r="G721" s="1" t="s">
        <v>57</v>
      </c>
      <c r="H721">
        <v>3</v>
      </c>
      <c r="I721">
        <v>100</v>
      </c>
      <c r="J721">
        <v>0</v>
      </c>
      <c r="K721" t="s">
        <v>83</v>
      </c>
      <c r="M721" s="1" t="s">
        <v>20</v>
      </c>
      <c r="N721" s="1" t="s">
        <v>36</v>
      </c>
      <c r="O721">
        <v>2</v>
      </c>
      <c r="P721">
        <v>2</v>
      </c>
      <c r="Q721" t="str">
        <f t="shared" si="56"/>
        <v>DAVID CHERRY</v>
      </c>
      <c r="R721" t="str">
        <f t="shared" si="57"/>
        <v>japan</v>
      </c>
      <c r="S721" t="str">
        <f>PROPER(global_freelancer_raw[[#This Row],[NAME UPPER]])</f>
        <v>David Cherry</v>
      </c>
      <c r="T721" t="str">
        <f t="shared" si="58"/>
        <v>Ja</v>
      </c>
      <c r="U721" t="str">
        <f t="shared" si="55"/>
        <v>d Cher</v>
      </c>
      <c r="V721" t="str">
        <f t="shared" si="59"/>
        <v>20</v>
      </c>
    </row>
    <row r="722" spans="1:22" x14ac:dyDescent="0.3">
      <c r="A722" s="1" t="s">
        <v>1528</v>
      </c>
      <c r="B722" s="1" t="s">
        <v>1529</v>
      </c>
      <c r="C722" s="1" t="s">
        <v>44</v>
      </c>
      <c r="D722">
        <v>52</v>
      </c>
      <c r="E722" s="1" t="s">
        <v>121</v>
      </c>
      <c r="F722" s="1" t="s">
        <v>122</v>
      </c>
      <c r="G722" s="1" t="s">
        <v>82</v>
      </c>
      <c r="H722">
        <v>30</v>
      </c>
      <c r="I722">
        <v>75</v>
      </c>
      <c r="K722" t="s">
        <v>168</v>
      </c>
      <c r="L722">
        <v>0.94</v>
      </c>
      <c r="M722" s="1" t="s">
        <v>72</v>
      </c>
      <c r="N722" s="1" t="s">
        <v>36</v>
      </c>
      <c r="O722">
        <v>10</v>
      </c>
      <c r="P722">
        <v>6</v>
      </c>
      <c r="Q722" t="str">
        <f t="shared" si="56"/>
        <v>RACHEL ROGERS</v>
      </c>
      <c r="R722" t="str">
        <f t="shared" si="57"/>
        <v>south korea</v>
      </c>
      <c r="S722" t="str">
        <f>PROPER(global_freelancer_raw[[#This Row],[NAME UPPER]])</f>
        <v>Rachel Rogers</v>
      </c>
      <c r="T722" t="str">
        <f t="shared" si="58"/>
        <v>So</v>
      </c>
      <c r="U722" t="str">
        <f t="shared" si="55"/>
        <v>el Rog</v>
      </c>
      <c r="V722" t="str">
        <f t="shared" si="59"/>
        <v>21</v>
      </c>
    </row>
    <row r="723" spans="1:22" x14ac:dyDescent="0.3">
      <c r="A723" s="1" t="s">
        <v>1530</v>
      </c>
      <c r="B723" s="1" t="s">
        <v>1531</v>
      </c>
      <c r="C723" s="1" t="s">
        <v>68</v>
      </c>
      <c r="D723">
        <v>57</v>
      </c>
      <c r="E723" s="1" t="s">
        <v>199</v>
      </c>
      <c r="F723" s="1" t="s">
        <v>81</v>
      </c>
      <c r="G723" s="1" t="s">
        <v>19</v>
      </c>
      <c r="H723">
        <v>11</v>
      </c>
      <c r="I723" t="s">
        <v>323</v>
      </c>
      <c r="J723">
        <v>4.9000000000000004</v>
      </c>
      <c r="K723" t="s">
        <v>83</v>
      </c>
      <c r="M723" s="1" t="s">
        <v>51</v>
      </c>
      <c r="N723" s="1" t="s">
        <v>36</v>
      </c>
      <c r="O723">
        <v>11</v>
      </c>
      <c r="P723">
        <v>4</v>
      </c>
      <c r="Q723" t="str">
        <f t="shared" si="56"/>
        <v>TRAVIS BRAUN</v>
      </c>
      <c r="R723" t="str">
        <f t="shared" si="57"/>
        <v>spain</v>
      </c>
      <c r="S723" t="str">
        <f>PROPER(global_freelancer_raw[[#This Row],[NAME UPPER]])</f>
        <v>Travis Braun</v>
      </c>
      <c r="T723" t="str">
        <f t="shared" si="58"/>
        <v>Sp</v>
      </c>
      <c r="U723" t="str">
        <f t="shared" si="55"/>
        <v>is Bra</v>
      </c>
      <c r="V723" t="str">
        <f t="shared" si="59"/>
        <v>22</v>
      </c>
    </row>
    <row r="724" spans="1:22" x14ac:dyDescent="0.3">
      <c r="A724" s="1" t="s">
        <v>1532</v>
      </c>
      <c r="B724" s="1" t="s">
        <v>1533</v>
      </c>
      <c r="C724" s="1" t="s">
        <v>44</v>
      </c>
      <c r="D724">
        <v>53</v>
      </c>
      <c r="E724" s="1" t="s">
        <v>188</v>
      </c>
      <c r="F724" s="1" t="s">
        <v>81</v>
      </c>
      <c r="G724" s="1" t="s">
        <v>98</v>
      </c>
      <c r="H724">
        <v>8</v>
      </c>
      <c r="I724">
        <v>20</v>
      </c>
      <c r="J724">
        <v>2.8</v>
      </c>
      <c r="K724" t="b">
        <v>1</v>
      </c>
      <c r="M724" s="1" t="s">
        <v>72</v>
      </c>
      <c r="N724" s="1" t="s">
        <v>21</v>
      </c>
      <c r="O724">
        <v>9</v>
      </c>
      <c r="P724">
        <v>2</v>
      </c>
      <c r="Q724" t="str">
        <f t="shared" si="56"/>
        <v>SHAWNA PALMER</v>
      </c>
      <c r="R724" t="str">
        <f t="shared" si="57"/>
        <v>mexico</v>
      </c>
      <c r="S724" t="str">
        <f>PROPER(global_freelancer_raw[[#This Row],[NAME UPPER]])</f>
        <v>Shawna Palmer</v>
      </c>
      <c r="T724" t="str">
        <f t="shared" si="58"/>
        <v>Me</v>
      </c>
      <c r="U724" t="str">
        <f t="shared" si="55"/>
        <v>na Pal</v>
      </c>
      <c r="V724" t="str">
        <f t="shared" si="59"/>
        <v>23</v>
      </c>
    </row>
    <row r="725" spans="1:22" x14ac:dyDescent="0.3">
      <c r="A725" s="1" t="s">
        <v>1534</v>
      </c>
      <c r="B725" s="1" t="s">
        <v>1535</v>
      </c>
      <c r="C725" s="1" t="s">
        <v>54</v>
      </c>
      <c r="D725">
        <v>51</v>
      </c>
      <c r="E725" s="1" t="s">
        <v>69</v>
      </c>
      <c r="F725" s="1" t="s">
        <v>70</v>
      </c>
      <c r="G725" s="1" t="s">
        <v>82</v>
      </c>
      <c r="H725">
        <v>11</v>
      </c>
      <c r="I725" t="s">
        <v>118</v>
      </c>
      <c r="J725">
        <v>3.6</v>
      </c>
      <c r="K725" t="s">
        <v>83</v>
      </c>
      <c r="L725">
        <v>0.77</v>
      </c>
      <c r="M725" s="1" t="s">
        <v>51</v>
      </c>
      <c r="N725" s="1" t="s">
        <v>21</v>
      </c>
      <c r="O725">
        <v>7</v>
      </c>
      <c r="P725">
        <v>3</v>
      </c>
      <c r="Q725" t="str">
        <f t="shared" si="56"/>
        <v>BRADLEY GAINES</v>
      </c>
      <c r="R725" t="str">
        <f t="shared" si="57"/>
        <v>turkey</v>
      </c>
      <c r="S725" t="str">
        <f>PROPER(global_freelancer_raw[[#This Row],[NAME UPPER]])</f>
        <v>Bradley Gaines</v>
      </c>
      <c r="T725" t="str">
        <f t="shared" si="58"/>
        <v>Tu</v>
      </c>
      <c r="U725" t="str">
        <f t="shared" si="55"/>
        <v>ley Ga</v>
      </c>
      <c r="V725" t="str">
        <f t="shared" si="59"/>
        <v>24</v>
      </c>
    </row>
    <row r="726" spans="1:22" x14ac:dyDescent="0.3">
      <c r="A726" s="1" t="s">
        <v>1536</v>
      </c>
      <c r="B726" s="1" t="s">
        <v>1537</v>
      </c>
      <c r="C726" s="1" t="s">
        <v>24</v>
      </c>
      <c r="D726">
        <v>37</v>
      </c>
      <c r="E726" s="1" t="s">
        <v>137</v>
      </c>
      <c r="F726" s="1" t="s">
        <v>26</v>
      </c>
      <c r="G726" s="1" t="s">
        <v>87</v>
      </c>
      <c r="H726">
        <v>9</v>
      </c>
      <c r="I726" t="s">
        <v>71</v>
      </c>
      <c r="K726" t="s">
        <v>76</v>
      </c>
      <c r="L726">
        <v>84</v>
      </c>
      <c r="M726" s="1" t="s">
        <v>77</v>
      </c>
      <c r="N726" s="1" t="s">
        <v>29</v>
      </c>
      <c r="O726">
        <v>7</v>
      </c>
      <c r="P726">
        <v>6</v>
      </c>
      <c r="Q726" t="str">
        <f t="shared" si="56"/>
        <v>APRIL FORD</v>
      </c>
      <c r="R726" t="str">
        <f t="shared" si="57"/>
        <v>canada</v>
      </c>
      <c r="S726" t="str">
        <f>PROPER(global_freelancer_raw[[#This Row],[NAME UPPER]])</f>
        <v>April Ford</v>
      </c>
      <c r="T726" t="str">
        <f t="shared" si="58"/>
        <v>Ca</v>
      </c>
      <c r="U726" t="str">
        <f t="shared" si="55"/>
        <v>l Ford</v>
      </c>
      <c r="V726" t="str">
        <f t="shared" si="59"/>
        <v>25</v>
      </c>
    </row>
    <row r="727" spans="1:22" x14ac:dyDescent="0.3">
      <c r="A727" s="1" t="s">
        <v>1538</v>
      </c>
      <c r="B727" s="1" t="s">
        <v>1539</v>
      </c>
      <c r="C727" s="1" t="s">
        <v>68</v>
      </c>
      <c r="D727">
        <v>40</v>
      </c>
      <c r="E727" s="1" t="s">
        <v>199</v>
      </c>
      <c r="F727" s="1" t="s">
        <v>81</v>
      </c>
      <c r="G727" s="1" t="s">
        <v>40</v>
      </c>
      <c r="H727">
        <v>7</v>
      </c>
      <c r="I727">
        <v>40</v>
      </c>
      <c r="J727">
        <v>4.5</v>
      </c>
      <c r="L727">
        <v>79</v>
      </c>
      <c r="M727" s="1" t="s">
        <v>51</v>
      </c>
      <c r="N727" s="1" t="s">
        <v>65</v>
      </c>
      <c r="O727">
        <v>15</v>
      </c>
      <c r="P727">
        <v>6</v>
      </c>
      <c r="Q727" t="str">
        <f t="shared" si="56"/>
        <v>JAMES GONZALEZ</v>
      </c>
      <c r="R727" t="str">
        <f t="shared" si="57"/>
        <v>spain</v>
      </c>
      <c r="S727" t="str">
        <f>PROPER(global_freelancer_raw[[#This Row],[NAME UPPER]])</f>
        <v>James Gonzalez</v>
      </c>
      <c r="T727" t="str">
        <f t="shared" si="58"/>
        <v>Sp</v>
      </c>
      <c r="U727" t="str">
        <f t="shared" si="55"/>
        <v>s Gonz</v>
      </c>
      <c r="V727" t="str">
        <f t="shared" si="59"/>
        <v>26</v>
      </c>
    </row>
    <row r="728" spans="1:22" x14ac:dyDescent="0.3">
      <c r="A728" s="1" t="s">
        <v>1540</v>
      </c>
      <c r="B728" s="1" t="s">
        <v>1541</v>
      </c>
      <c r="C728" s="1" t="s">
        <v>54</v>
      </c>
      <c r="D728">
        <v>60</v>
      </c>
      <c r="E728" s="1" t="s">
        <v>94</v>
      </c>
      <c r="F728" s="1" t="s">
        <v>95</v>
      </c>
      <c r="G728" s="1" t="s">
        <v>57</v>
      </c>
      <c r="H728">
        <v>24</v>
      </c>
      <c r="I728" t="s">
        <v>61</v>
      </c>
      <c r="J728">
        <v>3.1</v>
      </c>
      <c r="K728">
        <v>0</v>
      </c>
      <c r="L728">
        <v>0.69</v>
      </c>
      <c r="M728" s="1" t="s">
        <v>72</v>
      </c>
      <c r="N728" s="1" t="s">
        <v>21</v>
      </c>
      <c r="O728">
        <v>18</v>
      </c>
      <c r="P728">
        <v>12</v>
      </c>
      <c r="Q728" t="str">
        <f t="shared" si="56"/>
        <v>JOHN CASTILLO</v>
      </c>
      <c r="R728" t="str">
        <f t="shared" si="57"/>
        <v>japan</v>
      </c>
      <c r="S728" t="str">
        <f>PROPER(global_freelancer_raw[[#This Row],[NAME UPPER]])</f>
        <v>John Castillo</v>
      </c>
      <c r="T728" t="str">
        <f t="shared" si="58"/>
        <v>Ja</v>
      </c>
      <c r="U728" t="str">
        <f t="shared" si="55"/>
        <v xml:space="preserve"> Casti</v>
      </c>
      <c r="V728" t="str">
        <f t="shared" si="59"/>
        <v>27</v>
      </c>
    </row>
    <row r="729" spans="1:22" x14ac:dyDescent="0.3">
      <c r="A729" s="1" t="s">
        <v>1542</v>
      </c>
      <c r="B729" s="1" t="s">
        <v>1543</v>
      </c>
      <c r="C729" s="1" t="s">
        <v>101</v>
      </c>
      <c r="D729">
        <v>60</v>
      </c>
      <c r="E729" s="1" t="s">
        <v>144</v>
      </c>
      <c r="F729" s="1" t="s">
        <v>145</v>
      </c>
      <c r="G729" s="1" t="s">
        <v>82</v>
      </c>
      <c r="H729">
        <v>0</v>
      </c>
      <c r="I729">
        <v>40</v>
      </c>
      <c r="J729">
        <v>4.9000000000000004</v>
      </c>
      <c r="K729" t="s">
        <v>83</v>
      </c>
      <c r="L729">
        <v>0.68</v>
      </c>
      <c r="M729" s="1" t="s">
        <v>72</v>
      </c>
      <c r="N729" s="1" t="s">
        <v>65</v>
      </c>
      <c r="O729">
        <v>5</v>
      </c>
      <c r="P729">
        <v>1</v>
      </c>
      <c r="Q729" t="str">
        <f t="shared" si="56"/>
        <v>IAN HAYES</v>
      </c>
      <c r="R729" t="str">
        <f t="shared" si="57"/>
        <v>france</v>
      </c>
      <c r="S729" t="str">
        <f>PROPER(global_freelancer_raw[[#This Row],[NAME UPPER]])</f>
        <v>Ian Hayes</v>
      </c>
      <c r="T729" t="str">
        <f t="shared" si="58"/>
        <v>Fr</v>
      </c>
      <c r="U729" t="str">
        <f t="shared" si="55"/>
        <v>Hayes</v>
      </c>
      <c r="V729" t="str">
        <f t="shared" si="59"/>
        <v>28</v>
      </c>
    </row>
    <row r="730" spans="1:22" x14ac:dyDescent="0.3">
      <c r="A730" s="1" t="s">
        <v>1544</v>
      </c>
      <c r="B730" s="1" t="s">
        <v>1545</v>
      </c>
      <c r="C730" s="1" t="s">
        <v>86</v>
      </c>
      <c r="D730">
        <v>53</v>
      </c>
      <c r="E730" s="1" t="s">
        <v>121</v>
      </c>
      <c r="F730" s="1" t="s">
        <v>122</v>
      </c>
      <c r="G730" s="1" t="s">
        <v>82</v>
      </c>
      <c r="H730">
        <v>21</v>
      </c>
      <c r="I730" t="s">
        <v>50</v>
      </c>
      <c r="J730">
        <v>4.2</v>
      </c>
      <c r="K730">
        <v>1</v>
      </c>
      <c r="L730">
        <v>73</v>
      </c>
      <c r="M730" s="1" t="s">
        <v>72</v>
      </c>
      <c r="N730" s="1" t="s">
        <v>29</v>
      </c>
      <c r="O730">
        <v>10</v>
      </c>
      <c r="P730">
        <v>9</v>
      </c>
      <c r="Q730" t="str">
        <f t="shared" si="56"/>
        <v>CHRISTINE CASTRO</v>
      </c>
      <c r="R730" t="str">
        <f t="shared" si="57"/>
        <v>south korea</v>
      </c>
      <c r="S730" t="str">
        <f>PROPER(global_freelancer_raw[[#This Row],[NAME UPPER]])</f>
        <v>Christine Castro</v>
      </c>
      <c r="T730" t="str">
        <f t="shared" si="58"/>
        <v>So</v>
      </c>
      <c r="U730" t="str">
        <f t="shared" si="55"/>
        <v xml:space="preserve">stine </v>
      </c>
      <c r="V730" t="str">
        <f t="shared" si="59"/>
        <v>29</v>
      </c>
    </row>
    <row r="731" spans="1:22" x14ac:dyDescent="0.3">
      <c r="A731" s="1" t="s">
        <v>1546</v>
      </c>
      <c r="B731" s="1" t="s">
        <v>1547</v>
      </c>
      <c r="C731" s="1" t="s">
        <v>86</v>
      </c>
      <c r="D731">
        <v>20</v>
      </c>
      <c r="E731" s="1" t="s">
        <v>188</v>
      </c>
      <c r="F731" s="1" t="s">
        <v>81</v>
      </c>
      <c r="G731" s="1" t="s">
        <v>19</v>
      </c>
      <c r="H731">
        <v>0</v>
      </c>
      <c r="I731">
        <v>75</v>
      </c>
      <c r="J731">
        <v>3.2</v>
      </c>
      <c r="K731">
        <v>1</v>
      </c>
      <c r="L731">
        <v>0.74</v>
      </c>
      <c r="M731" s="1" t="s">
        <v>77</v>
      </c>
      <c r="N731" s="1" t="s">
        <v>65</v>
      </c>
      <c r="O731">
        <v>2</v>
      </c>
      <c r="P731">
        <v>2</v>
      </c>
      <c r="Q731" t="str">
        <f t="shared" si="56"/>
        <v>JESSICA CHANEY</v>
      </c>
      <c r="R731" t="str">
        <f t="shared" si="57"/>
        <v>mexico</v>
      </c>
      <c r="S731" t="str">
        <f>PROPER(global_freelancer_raw[[#This Row],[NAME UPPER]])</f>
        <v>Jessica Chaney</v>
      </c>
      <c r="T731" t="str">
        <f t="shared" si="58"/>
        <v>Me</v>
      </c>
      <c r="U731" t="str">
        <f t="shared" si="55"/>
        <v>ica Ch</v>
      </c>
      <c r="V731" t="str">
        <f t="shared" si="59"/>
        <v>30</v>
      </c>
    </row>
    <row r="732" spans="1:22" x14ac:dyDescent="0.3">
      <c r="A732" s="1" t="s">
        <v>1548</v>
      </c>
      <c r="B732" s="1" t="s">
        <v>1549</v>
      </c>
      <c r="C732" s="1" t="s">
        <v>68</v>
      </c>
      <c r="D732">
        <v>42</v>
      </c>
      <c r="E732" s="1" t="s">
        <v>133</v>
      </c>
      <c r="F732" s="1" t="s">
        <v>134</v>
      </c>
      <c r="G732" s="1" t="s">
        <v>40</v>
      </c>
      <c r="H732">
        <v>7</v>
      </c>
      <c r="I732" t="s">
        <v>323</v>
      </c>
      <c r="K732" t="b">
        <v>0</v>
      </c>
      <c r="L732">
        <v>1</v>
      </c>
      <c r="M732" s="1" t="s">
        <v>77</v>
      </c>
      <c r="N732" s="1" t="s">
        <v>21</v>
      </c>
      <c r="O732">
        <v>15</v>
      </c>
      <c r="P732">
        <v>14</v>
      </c>
      <c r="Q732" t="str">
        <f t="shared" si="56"/>
        <v>JOHN GRAY</v>
      </c>
      <c r="R732" t="str">
        <f t="shared" si="57"/>
        <v>russia</v>
      </c>
      <c r="S732" t="str">
        <f>PROPER(global_freelancer_raw[[#This Row],[NAME UPPER]])</f>
        <v>John Gray</v>
      </c>
      <c r="T732" t="str">
        <f t="shared" si="58"/>
        <v>Ru</v>
      </c>
      <c r="U732" t="str">
        <f t="shared" si="55"/>
        <v xml:space="preserve"> Gray</v>
      </c>
      <c r="V732" t="str">
        <f t="shared" si="59"/>
        <v>31</v>
      </c>
    </row>
    <row r="733" spans="1:22" x14ac:dyDescent="0.3">
      <c r="A733" s="1" t="s">
        <v>1550</v>
      </c>
      <c r="B733" s="1" t="s">
        <v>1551</v>
      </c>
      <c r="C733" s="1" t="s">
        <v>101</v>
      </c>
      <c r="D733">
        <v>21</v>
      </c>
      <c r="E733" s="1" t="s">
        <v>75</v>
      </c>
      <c r="F733" s="1" t="s">
        <v>26</v>
      </c>
      <c r="G733" s="1" t="s">
        <v>27</v>
      </c>
      <c r="H733">
        <v>3</v>
      </c>
      <c r="I733">
        <v>40</v>
      </c>
      <c r="J733">
        <v>0</v>
      </c>
      <c r="K733">
        <v>0</v>
      </c>
      <c r="L733">
        <v>0.87</v>
      </c>
      <c r="M733" s="1" t="s">
        <v>20</v>
      </c>
      <c r="N733" s="1" t="s">
        <v>65</v>
      </c>
      <c r="O733">
        <v>1</v>
      </c>
      <c r="P733">
        <v>1</v>
      </c>
      <c r="Q733" t="str">
        <f t="shared" si="56"/>
        <v>SHANE BOOKER</v>
      </c>
      <c r="R733" t="str">
        <f t="shared" si="57"/>
        <v>uk</v>
      </c>
      <c r="S733" t="str">
        <f>PROPER(global_freelancer_raw[[#This Row],[NAME UPPER]])</f>
        <v>Shane Booker</v>
      </c>
      <c r="T733" t="str">
        <f t="shared" si="58"/>
        <v>UK</v>
      </c>
      <c r="U733" t="str">
        <f t="shared" si="55"/>
        <v>e Book</v>
      </c>
      <c r="V733" t="str">
        <f t="shared" si="59"/>
        <v>32</v>
      </c>
    </row>
    <row r="734" spans="1:22" x14ac:dyDescent="0.3">
      <c r="A734" s="1" t="s">
        <v>1552</v>
      </c>
      <c r="B734" s="1" t="s">
        <v>1553</v>
      </c>
      <c r="C734" s="1" t="s">
        <v>54</v>
      </c>
      <c r="D734">
        <v>39</v>
      </c>
      <c r="E734" s="1" t="s">
        <v>33</v>
      </c>
      <c r="F734" s="1" t="s">
        <v>33</v>
      </c>
      <c r="G734" s="1" t="s">
        <v>40</v>
      </c>
      <c r="H734">
        <v>21</v>
      </c>
      <c r="I734">
        <v>100</v>
      </c>
      <c r="J734">
        <v>2.2000000000000002</v>
      </c>
      <c r="K734">
        <v>0</v>
      </c>
      <c r="L734">
        <v>0.79</v>
      </c>
      <c r="M734" s="1" t="s">
        <v>72</v>
      </c>
      <c r="N734" s="1" t="s">
        <v>21</v>
      </c>
      <c r="O734">
        <v>12</v>
      </c>
      <c r="P734">
        <v>13</v>
      </c>
      <c r="Q734" t="str">
        <f t="shared" si="56"/>
        <v>KYLE HALL</v>
      </c>
      <c r="R734" t="str">
        <f t="shared" si="57"/>
        <v>germany</v>
      </c>
      <c r="S734" t="str">
        <f>PROPER(global_freelancer_raw[[#This Row],[NAME UPPER]])</f>
        <v>Kyle Hall</v>
      </c>
      <c r="T734" t="str">
        <f t="shared" si="58"/>
        <v>Ge</v>
      </c>
      <c r="U734" t="str">
        <f t="shared" si="55"/>
        <v xml:space="preserve"> Hall</v>
      </c>
      <c r="V734" t="str">
        <f t="shared" si="59"/>
        <v>33</v>
      </c>
    </row>
    <row r="735" spans="1:22" x14ac:dyDescent="0.3">
      <c r="A735" s="1" t="s">
        <v>1554</v>
      </c>
      <c r="B735" s="1" t="s">
        <v>1555</v>
      </c>
      <c r="C735" s="1" t="s">
        <v>54</v>
      </c>
      <c r="D735">
        <v>32</v>
      </c>
      <c r="E735" s="1" t="s">
        <v>102</v>
      </c>
      <c r="F735" s="1" t="s">
        <v>103</v>
      </c>
      <c r="G735" s="1" t="s">
        <v>19</v>
      </c>
      <c r="I735">
        <v>30</v>
      </c>
      <c r="J735">
        <v>1.5</v>
      </c>
      <c r="K735">
        <v>0</v>
      </c>
      <c r="L735">
        <v>0.68</v>
      </c>
      <c r="M735" s="1" t="s">
        <v>51</v>
      </c>
      <c r="N735" s="1" t="s">
        <v>65</v>
      </c>
      <c r="O735">
        <v>4</v>
      </c>
      <c r="P735">
        <v>1</v>
      </c>
      <c r="Q735" t="str">
        <f t="shared" si="56"/>
        <v>RONALD MUNOZ</v>
      </c>
      <c r="R735" t="str">
        <f t="shared" si="57"/>
        <v>india</v>
      </c>
      <c r="S735" t="str">
        <f>PROPER(global_freelancer_raw[[#This Row],[NAME UPPER]])</f>
        <v>Ronald Munoz</v>
      </c>
      <c r="T735" t="str">
        <f t="shared" si="58"/>
        <v>In</v>
      </c>
      <c r="U735" t="str">
        <f t="shared" si="55"/>
        <v>ld Mun</v>
      </c>
      <c r="V735" t="str">
        <f t="shared" si="59"/>
        <v>34</v>
      </c>
    </row>
    <row r="736" spans="1:22" x14ac:dyDescent="0.3">
      <c r="A736" s="1" t="s">
        <v>1556</v>
      </c>
      <c r="B736" s="1" t="s">
        <v>1557</v>
      </c>
      <c r="C736" s="1" t="s">
        <v>101</v>
      </c>
      <c r="D736">
        <v>35</v>
      </c>
      <c r="E736" s="1" t="s">
        <v>33</v>
      </c>
      <c r="F736" s="1" t="s">
        <v>33</v>
      </c>
      <c r="G736" s="1" t="s">
        <v>57</v>
      </c>
      <c r="I736" t="s">
        <v>28</v>
      </c>
      <c r="K736">
        <v>0</v>
      </c>
      <c r="L736">
        <v>0.84</v>
      </c>
      <c r="M736" s="1" t="s">
        <v>77</v>
      </c>
      <c r="N736" s="1" t="s">
        <v>21</v>
      </c>
      <c r="O736">
        <v>1</v>
      </c>
      <c r="P736">
        <v>2</v>
      </c>
      <c r="Q736" t="str">
        <f t="shared" si="56"/>
        <v>CHRISTOPHER LONG</v>
      </c>
      <c r="R736" t="str">
        <f t="shared" si="57"/>
        <v>germany</v>
      </c>
      <c r="S736" t="str">
        <f>PROPER(global_freelancer_raw[[#This Row],[NAME UPPER]])</f>
        <v>Christopher Long</v>
      </c>
      <c r="T736" t="str">
        <f t="shared" si="58"/>
        <v>Ge</v>
      </c>
      <c r="U736" t="str">
        <f t="shared" si="55"/>
        <v>stophe</v>
      </c>
      <c r="V736" t="str">
        <f t="shared" si="59"/>
        <v>35</v>
      </c>
    </row>
    <row r="737" spans="1:22" x14ac:dyDescent="0.3">
      <c r="A737" s="1" t="s">
        <v>1558</v>
      </c>
      <c r="B737" s="1" t="s">
        <v>1559</v>
      </c>
      <c r="C737" s="1" t="s">
        <v>16</v>
      </c>
      <c r="D737">
        <v>35</v>
      </c>
      <c r="E737" s="1" t="s">
        <v>144</v>
      </c>
      <c r="F737" s="1" t="s">
        <v>145</v>
      </c>
      <c r="G737" s="1" t="s">
        <v>82</v>
      </c>
      <c r="H737">
        <v>17</v>
      </c>
      <c r="I737">
        <v>50</v>
      </c>
      <c r="J737">
        <v>3.1</v>
      </c>
      <c r="K737">
        <v>0</v>
      </c>
      <c r="L737">
        <v>0.71</v>
      </c>
      <c r="M737" s="1" t="s">
        <v>72</v>
      </c>
      <c r="N737" s="1" t="s">
        <v>21</v>
      </c>
      <c r="O737">
        <v>10</v>
      </c>
      <c r="P737">
        <v>2</v>
      </c>
      <c r="Q737" t="str">
        <f t="shared" si="56"/>
        <v>SANDRA ALI</v>
      </c>
      <c r="R737" t="str">
        <f t="shared" si="57"/>
        <v>france</v>
      </c>
      <c r="S737" t="str">
        <f>PROPER(global_freelancer_raw[[#This Row],[NAME UPPER]])</f>
        <v>Sandra Ali</v>
      </c>
      <c r="T737" t="str">
        <f t="shared" si="58"/>
        <v>Fr</v>
      </c>
      <c r="U737" t="str">
        <f t="shared" si="55"/>
        <v>ra Ali</v>
      </c>
      <c r="V737" t="str">
        <f t="shared" si="59"/>
        <v>36</v>
      </c>
    </row>
    <row r="738" spans="1:22" x14ac:dyDescent="0.3">
      <c r="A738" s="1" t="s">
        <v>1560</v>
      </c>
      <c r="B738" s="1" t="s">
        <v>1561</v>
      </c>
      <c r="C738" s="1" t="s">
        <v>24</v>
      </c>
      <c r="D738">
        <v>23</v>
      </c>
      <c r="E738" s="1" t="s">
        <v>80</v>
      </c>
      <c r="F738" s="1" t="s">
        <v>81</v>
      </c>
      <c r="G738" s="1" t="s">
        <v>82</v>
      </c>
      <c r="H738">
        <v>0</v>
      </c>
      <c r="I738">
        <v>75</v>
      </c>
      <c r="J738">
        <v>0</v>
      </c>
      <c r="K738" t="s">
        <v>168</v>
      </c>
      <c r="L738">
        <v>0.92</v>
      </c>
      <c r="M738" s="1" t="s">
        <v>72</v>
      </c>
      <c r="N738" s="1" t="s">
        <v>65</v>
      </c>
      <c r="O738">
        <v>1</v>
      </c>
      <c r="P738">
        <v>2</v>
      </c>
      <c r="Q738" t="str">
        <f t="shared" si="56"/>
        <v>JESSICA GARZA</v>
      </c>
      <c r="R738" t="str">
        <f t="shared" si="57"/>
        <v>argentina</v>
      </c>
      <c r="S738" t="str">
        <f>PROPER(global_freelancer_raw[[#This Row],[NAME UPPER]])</f>
        <v>Jessica Garza</v>
      </c>
      <c r="T738" t="str">
        <f t="shared" si="58"/>
        <v>Ar</v>
      </c>
      <c r="U738" t="str">
        <f t="shared" si="55"/>
        <v>ica Ga</v>
      </c>
      <c r="V738" t="str">
        <f t="shared" si="59"/>
        <v>37</v>
      </c>
    </row>
    <row r="739" spans="1:22" x14ac:dyDescent="0.3">
      <c r="A739" s="1" t="s">
        <v>1562</v>
      </c>
      <c r="B739" s="1" t="s">
        <v>1563</v>
      </c>
      <c r="C739" s="1" t="s">
        <v>101</v>
      </c>
      <c r="D739">
        <v>26</v>
      </c>
      <c r="E739" s="1" t="s">
        <v>47</v>
      </c>
      <c r="F739" s="1" t="s">
        <v>48</v>
      </c>
      <c r="G739" s="1" t="s">
        <v>49</v>
      </c>
      <c r="H739">
        <v>6</v>
      </c>
      <c r="I739" t="s">
        <v>28</v>
      </c>
      <c r="K739" t="s">
        <v>168</v>
      </c>
      <c r="L739">
        <v>0.69</v>
      </c>
      <c r="M739" s="1" t="s">
        <v>77</v>
      </c>
      <c r="N739" s="1" t="s">
        <v>29</v>
      </c>
      <c r="O739">
        <v>8</v>
      </c>
      <c r="P739">
        <v>9</v>
      </c>
      <c r="Q739" t="str">
        <f t="shared" si="56"/>
        <v>GREGORY WATERS</v>
      </c>
      <c r="R739" t="str">
        <f t="shared" si="57"/>
        <v>netherlands</v>
      </c>
      <c r="S739" t="str">
        <f>PROPER(global_freelancer_raw[[#This Row],[NAME UPPER]])</f>
        <v>Gregory Waters</v>
      </c>
      <c r="T739" t="str">
        <f t="shared" si="58"/>
        <v>Ne</v>
      </c>
      <c r="U739" t="str">
        <f t="shared" si="55"/>
        <v>ory Wa</v>
      </c>
      <c r="V739" t="str">
        <f t="shared" si="59"/>
        <v>38</v>
      </c>
    </row>
    <row r="740" spans="1:22" x14ac:dyDescent="0.3">
      <c r="A740" s="1" t="s">
        <v>1564</v>
      </c>
      <c r="B740" s="1" t="s">
        <v>1565</v>
      </c>
      <c r="C740" s="1" t="s">
        <v>39</v>
      </c>
      <c r="D740">
        <v>34</v>
      </c>
      <c r="E740" s="1" t="s">
        <v>137</v>
      </c>
      <c r="F740" s="1" t="s">
        <v>26</v>
      </c>
      <c r="G740" s="1" t="s">
        <v>123</v>
      </c>
      <c r="H740">
        <v>3</v>
      </c>
      <c r="J740">
        <v>0</v>
      </c>
      <c r="K740">
        <v>1</v>
      </c>
      <c r="L740">
        <v>0.71</v>
      </c>
      <c r="M740" s="1" t="s">
        <v>20</v>
      </c>
      <c r="N740" s="1" t="s">
        <v>36</v>
      </c>
      <c r="O740">
        <v>2</v>
      </c>
      <c r="P740">
        <v>1</v>
      </c>
      <c r="Q740" t="str">
        <f t="shared" si="56"/>
        <v>MISTY ADAMS</v>
      </c>
      <c r="R740" t="str">
        <f t="shared" si="57"/>
        <v>canada</v>
      </c>
      <c r="S740" t="str">
        <f>PROPER(global_freelancer_raw[[#This Row],[NAME UPPER]])</f>
        <v>Misty Adams</v>
      </c>
      <c r="T740" t="str">
        <f t="shared" si="58"/>
        <v>Ca</v>
      </c>
      <c r="U740" t="str">
        <f t="shared" si="55"/>
        <v>y Adam</v>
      </c>
      <c r="V740" t="str">
        <f t="shared" si="59"/>
        <v>39</v>
      </c>
    </row>
    <row r="741" spans="1:22" x14ac:dyDescent="0.3">
      <c r="A741" s="1" t="s">
        <v>1566</v>
      </c>
      <c r="B741" s="1" t="s">
        <v>1567</v>
      </c>
      <c r="C741" s="1" t="s">
        <v>86</v>
      </c>
      <c r="D741">
        <v>34</v>
      </c>
      <c r="E741" s="1" t="s">
        <v>33</v>
      </c>
      <c r="F741" s="1" t="s">
        <v>33</v>
      </c>
      <c r="G741" s="1" t="s">
        <v>19</v>
      </c>
      <c r="H741">
        <v>3</v>
      </c>
      <c r="K741" t="b">
        <v>0</v>
      </c>
      <c r="L741">
        <v>0.77</v>
      </c>
      <c r="M741" s="1" t="s">
        <v>77</v>
      </c>
      <c r="N741" s="1" t="s">
        <v>29</v>
      </c>
      <c r="O741">
        <v>2</v>
      </c>
      <c r="P741">
        <v>1</v>
      </c>
      <c r="Q741" t="str">
        <f t="shared" si="56"/>
        <v>MEGAN BROWN</v>
      </c>
      <c r="R741" t="str">
        <f t="shared" si="57"/>
        <v>germany</v>
      </c>
      <c r="S741" t="str">
        <f>PROPER(global_freelancer_raw[[#This Row],[NAME UPPER]])</f>
        <v>Megan Brown</v>
      </c>
      <c r="T741" t="str">
        <f t="shared" si="58"/>
        <v>Ge</v>
      </c>
      <c r="U741" t="str">
        <f t="shared" si="55"/>
        <v>n Brow</v>
      </c>
      <c r="V741" t="str">
        <f t="shared" si="59"/>
        <v>40</v>
      </c>
    </row>
    <row r="742" spans="1:22" x14ac:dyDescent="0.3">
      <c r="A742" s="1" t="s">
        <v>1568</v>
      </c>
      <c r="B742" s="1" t="s">
        <v>1569</v>
      </c>
      <c r="C742" s="1" t="s">
        <v>54</v>
      </c>
      <c r="D742">
        <v>57</v>
      </c>
      <c r="E742" s="1" t="s">
        <v>17</v>
      </c>
      <c r="F742" s="1" t="s">
        <v>18</v>
      </c>
      <c r="G742" s="1" t="s">
        <v>40</v>
      </c>
      <c r="H742">
        <v>31</v>
      </c>
      <c r="I742">
        <v>50</v>
      </c>
      <c r="J742">
        <v>3</v>
      </c>
      <c r="K742" t="b">
        <v>1</v>
      </c>
      <c r="L742">
        <v>0.87</v>
      </c>
      <c r="M742" s="1" t="s">
        <v>77</v>
      </c>
      <c r="N742" s="1" t="s">
        <v>65</v>
      </c>
      <c r="O742">
        <v>15</v>
      </c>
      <c r="P742">
        <v>10</v>
      </c>
      <c r="Q742" t="str">
        <f t="shared" si="56"/>
        <v>GREGORY BROWN</v>
      </c>
      <c r="R742" t="str">
        <f t="shared" si="57"/>
        <v>italy</v>
      </c>
      <c r="S742" t="str">
        <f>PROPER(global_freelancer_raw[[#This Row],[NAME UPPER]])</f>
        <v>Gregory Brown</v>
      </c>
      <c r="T742" t="str">
        <f t="shared" si="58"/>
        <v>It</v>
      </c>
      <c r="U742" t="str">
        <f t="shared" si="55"/>
        <v>ory Br</v>
      </c>
      <c r="V742" t="str">
        <f t="shared" si="59"/>
        <v>41</v>
      </c>
    </row>
    <row r="743" spans="1:22" x14ac:dyDescent="0.3">
      <c r="A743" s="1" t="s">
        <v>1570</v>
      </c>
      <c r="B743" s="1" t="s">
        <v>1571</v>
      </c>
      <c r="C743" s="1" t="s">
        <v>68</v>
      </c>
      <c r="D743">
        <v>46</v>
      </c>
      <c r="E743" s="1" t="s">
        <v>137</v>
      </c>
      <c r="F743" s="1" t="s">
        <v>26</v>
      </c>
      <c r="G743" s="1" t="s">
        <v>40</v>
      </c>
      <c r="H743">
        <v>5</v>
      </c>
      <c r="I743" t="s">
        <v>50</v>
      </c>
      <c r="J743">
        <v>2.6</v>
      </c>
      <c r="K743" t="s">
        <v>168</v>
      </c>
      <c r="L743">
        <v>0.76</v>
      </c>
      <c r="M743" s="1" t="s">
        <v>51</v>
      </c>
      <c r="N743" s="1" t="s">
        <v>29</v>
      </c>
      <c r="O743">
        <v>2</v>
      </c>
      <c r="P743">
        <v>3</v>
      </c>
      <c r="Q743" t="str">
        <f t="shared" si="56"/>
        <v>SCOTT ALEXANDER MD</v>
      </c>
      <c r="R743" t="str">
        <f t="shared" si="57"/>
        <v>canada</v>
      </c>
      <c r="S743" t="str">
        <f>PROPER(global_freelancer_raw[[#This Row],[NAME UPPER]])</f>
        <v>Scott Alexander Md</v>
      </c>
      <c r="T743" t="str">
        <f t="shared" si="58"/>
        <v>Ca</v>
      </c>
      <c r="U743" t="str">
        <f t="shared" si="55"/>
        <v>t Alex</v>
      </c>
      <c r="V743" t="str">
        <f t="shared" si="59"/>
        <v>42</v>
      </c>
    </row>
    <row r="744" spans="1:22" x14ac:dyDescent="0.3">
      <c r="A744" s="1" t="s">
        <v>1572</v>
      </c>
      <c r="B744" s="1" t="s">
        <v>1573</v>
      </c>
      <c r="C744" s="1" t="s">
        <v>32</v>
      </c>
      <c r="D744">
        <v>55</v>
      </c>
      <c r="E744" s="1" t="s">
        <v>102</v>
      </c>
      <c r="F744" s="1" t="s">
        <v>103</v>
      </c>
      <c r="G744" s="1" t="s">
        <v>49</v>
      </c>
      <c r="H744">
        <v>37</v>
      </c>
      <c r="I744" t="s">
        <v>58</v>
      </c>
      <c r="J744">
        <v>4.0999999999999996</v>
      </c>
      <c r="K744" t="s">
        <v>168</v>
      </c>
      <c r="M744" s="1" t="s">
        <v>51</v>
      </c>
      <c r="N744" s="1" t="s">
        <v>21</v>
      </c>
      <c r="O744">
        <v>16</v>
      </c>
      <c r="P744">
        <v>7</v>
      </c>
      <c r="Q744" t="str">
        <f t="shared" si="56"/>
        <v>ERIC NGUYEN</v>
      </c>
      <c r="R744" t="str">
        <f t="shared" si="57"/>
        <v>india</v>
      </c>
      <c r="S744" t="str">
        <f>PROPER(global_freelancer_raw[[#This Row],[NAME UPPER]])</f>
        <v>Eric Nguyen</v>
      </c>
      <c r="T744" t="str">
        <f t="shared" si="58"/>
        <v>In</v>
      </c>
      <c r="U744" t="str">
        <f t="shared" si="55"/>
        <v xml:space="preserve"> Nguye</v>
      </c>
      <c r="V744" t="str">
        <f t="shared" si="59"/>
        <v>43</v>
      </c>
    </row>
    <row r="745" spans="1:22" x14ac:dyDescent="0.3">
      <c r="A745" s="1" t="s">
        <v>1574</v>
      </c>
      <c r="B745" s="1" t="s">
        <v>1575</v>
      </c>
      <c r="C745" s="1" t="s">
        <v>24</v>
      </c>
      <c r="D745">
        <v>32</v>
      </c>
      <c r="E745" s="1" t="s">
        <v>25</v>
      </c>
      <c r="F745" s="1" t="s">
        <v>26</v>
      </c>
      <c r="G745" s="1" t="s">
        <v>98</v>
      </c>
      <c r="H745">
        <v>10</v>
      </c>
      <c r="I745" t="s">
        <v>107</v>
      </c>
      <c r="J745">
        <v>1.5</v>
      </c>
      <c r="K745" t="b">
        <v>0</v>
      </c>
      <c r="L745">
        <v>0.65</v>
      </c>
      <c r="M745" s="1" t="s">
        <v>20</v>
      </c>
      <c r="N745" s="1" t="s">
        <v>36</v>
      </c>
      <c r="O745">
        <v>15</v>
      </c>
      <c r="P745">
        <v>6</v>
      </c>
      <c r="Q745" t="str">
        <f t="shared" si="56"/>
        <v>WENDY BOYER</v>
      </c>
      <c r="R745" t="str">
        <f t="shared" si="57"/>
        <v>australia</v>
      </c>
      <c r="S745" t="str">
        <f>PROPER(global_freelancer_raw[[#This Row],[NAME UPPER]])</f>
        <v>Wendy Boyer</v>
      </c>
      <c r="T745" t="str">
        <f t="shared" si="58"/>
        <v>Au</v>
      </c>
      <c r="U745" t="str">
        <f t="shared" si="55"/>
        <v>y Boye</v>
      </c>
      <c r="V745" t="str">
        <f t="shared" si="59"/>
        <v>44</v>
      </c>
    </row>
    <row r="746" spans="1:22" x14ac:dyDescent="0.3">
      <c r="A746" s="1" t="s">
        <v>1576</v>
      </c>
      <c r="B746" s="1" t="s">
        <v>1577</v>
      </c>
      <c r="C746" s="1" t="s">
        <v>101</v>
      </c>
      <c r="D746">
        <v>53</v>
      </c>
      <c r="E746" s="1" t="s">
        <v>55</v>
      </c>
      <c r="F746" s="1" t="s">
        <v>56</v>
      </c>
      <c r="G746" s="1" t="s">
        <v>49</v>
      </c>
      <c r="H746">
        <v>28</v>
      </c>
      <c r="I746" t="s">
        <v>107</v>
      </c>
      <c r="J746">
        <v>2.9</v>
      </c>
      <c r="K746" t="s">
        <v>76</v>
      </c>
      <c r="L746">
        <v>0.82</v>
      </c>
      <c r="M746" s="1" t="s">
        <v>72</v>
      </c>
      <c r="N746" s="1" t="s">
        <v>65</v>
      </c>
      <c r="O746">
        <v>10</v>
      </c>
      <c r="P746">
        <v>13</v>
      </c>
      <c r="Q746" t="str">
        <f t="shared" si="56"/>
        <v>MARK CLARK</v>
      </c>
      <c r="R746" t="str">
        <f t="shared" si="57"/>
        <v>indonesia</v>
      </c>
      <c r="S746" t="str">
        <f>PROPER(global_freelancer_raw[[#This Row],[NAME UPPER]])</f>
        <v>Mark Clark</v>
      </c>
      <c r="T746" t="str">
        <f t="shared" si="58"/>
        <v>In</v>
      </c>
      <c r="U746" t="str">
        <f t="shared" si="55"/>
        <v xml:space="preserve"> Clark</v>
      </c>
      <c r="V746" t="str">
        <f t="shared" si="59"/>
        <v>45</v>
      </c>
    </row>
    <row r="747" spans="1:22" x14ac:dyDescent="0.3">
      <c r="A747" s="1" t="s">
        <v>1578</v>
      </c>
      <c r="B747" s="1" t="s">
        <v>1579</v>
      </c>
      <c r="C747" s="1" t="s">
        <v>32</v>
      </c>
      <c r="D747">
        <v>59</v>
      </c>
      <c r="E747" s="1" t="s">
        <v>188</v>
      </c>
      <c r="F747" s="1" t="s">
        <v>81</v>
      </c>
      <c r="G747" s="1" t="s">
        <v>49</v>
      </c>
      <c r="H747">
        <v>0</v>
      </c>
      <c r="I747">
        <v>100</v>
      </c>
      <c r="J747">
        <v>0</v>
      </c>
      <c r="K747" t="s">
        <v>83</v>
      </c>
      <c r="L747">
        <v>87</v>
      </c>
      <c r="M747" s="1" t="s">
        <v>77</v>
      </c>
      <c r="N747" s="1" t="s">
        <v>65</v>
      </c>
      <c r="O747">
        <v>4</v>
      </c>
      <c r="P747">
        <v>4</v>
      </c>
      <c r="Q747" t="str">
        <f t="shared" si="56"/>
        <v>CARL KLINE</v>
      </c>
      <c r="R747" t="str">
        <f t="shared" si="57"/>
        <v>mexico</v>
      </c>
      <c r="S747" t="str">
        <f>PROPER(global_freelancer_raw[[#This Row],[NAME UPPER]])</f>
        <v>Carl Kline</v>
      </c>
      <c r="T747" t="str">
        <f t="shared" si="58"/>
        <v>Me</v>
      </c>
      <c r="U747" t="str">
        <f t="shared" si="55"/>
        <v xml:space="preserve"> Kline</v>
      </c>
      <c r="V747" t="str">
        <f t="shared" si="59"/>
        <v>46</v>
      </c>
    </row>
    <row r="748" spans="1:22" x14ac:dyDescent="0.3">
      <c r="A748" s="1" t="s">
        <v>1580</v>
      </c>
      <c r="B748" s="1" t="s">
        <v>1581</v>
      </c>
      <c r="C748" s="1" t="s">
        <v>39</v>
      </c>
      <c r="D748">
        <v>44</v>
      </c>
      <c r="E748" s="1" t="s">
        <v>47</v>
      </c>
      <c r="F748" s="1" t="s">
        <v>48</v>
      </c>
      <c r="G748" s="1" t="s">
        <v>123</v>
      </c>
      <c r="H748">
        <v>19</v>
      </c>
      <c r="I748" t="s">
        <v>41</v>
      </c>
      <c r="J748">
        <v>4.9000000000000004</v>
      </c>
      <c r="K748" t="s">
        <v>35</v>
      </c>
      <c r="L748">
        <v>1</v>
      </c>
      <c r="M748" s="1" t="s">
        <v>20</v>
      </c>
      <c r="N748" s="1" t="s">
        <v>65</v>
      </c>
      <c r="O748">
        <v>17</v>
      </c>
      <c r="P748">
        <v>14</v>
      </c>
      <c r="Q748" t="str">
        <f t="shared" si="56"/>
        <v>LINDA WILLIAMS</v>
      </c>
      <c r="R748" t="str">
        <f t="shared" si="57"/>
        <v>netherlands</v>
      </c>
      <c r="S748" t="str">
        <f>PROPER(global_freelancer_raw[[#This Row],[NAME UPPER]])</f>
        <v>Linda Williams</v>
      </c>
      <c r="T748" t="str">
        <f t="shared" si="58"/>
        <v>Ne</v>
      </c>
      <c r="U748" t="str">
        <f t="shared" si="55"/>
        <v>a Will</v>
      </c>
      <c r="V748" t="str">
        <f t="shared" si="59"/>
        <v>47</v>
      </c>
    </row>
    <row r="749" spans="1:22" x14ac:dyDescent="0.3">
      <c r="A749" s="1" t="s">
        <v>1582</v>
      </c>
      <c r="B749" s="1" t="s">
        <v>1583</v>
      </c>
      <c r="C749" s="1" t="s">
        <v>106</v>
      </c>
      <c r="D749">
        <v>35</v>
      </c>
      <c r="E749" s="1" t="s">
        <v>148</v>
      </c>
      <c r="F749" s="1" t="s">
        <v>149</v>
      </c>
      <c r="G749" s="1" t="s">
        <v>19</v>
      </c>
      <c r="H749">
        <v>9</v>
      </c>
      <c r="I749" t="s">
        <v>107</v>
      </c>
      <c r="J749">
        <v>3</v>
      </c>
      <c r="K749" t="s">
        <v>35</v>
      </c>
      <c r="L749">
        <v>71</v>
      </c>
      <c r="M749" s="1" t="s">
        <v>51</v>
      </c>
      <c r="N749" s="1" t="s">
        <v>36</v>
      </c>
      <c r="O749">
        <v>6</v>
      </c>
      <c r="P749">
        <v>13</v>
      </c>
      <c r="Q749" t="str">
        <f t="shared" si="56"/>
        <v>JASON EDWARDS</v>
      </c>
      <c r="R749" t="str">
        <f t="shared" si="57"/>
        <v>egypt</v>
      </c>
      <c r="S749" t="str">
        <f>PROPER(global_freelancer_raw[[#This Row],[NAME UPPER]])</f>
        <v>Jason Edwards</v>
      </c>
      <c r="T749" t="str">
        <f t="shared" si="58"/>
        <v>Eg</v>
      </c>
      <c r="U749" t="str">
        <f t="shared" si="55"/>
        <v>n Edwa</v>
      </c>
      <c r="V749" t="str">
        <f t="shared" si="59"/>
        <v>48</v>
      </c>
    </row>
    <row r="750" spans="1:22" x14ac:dyDescent="0.3">
      <c r="A750" s="1" t="s">
        <v>1584</v>
      </c>
      <c r="B750" s="1" t="s">
        <v>1585</v>
      </c>
      <c r="C750" s="1" t="s">
        <v>16</v>
      </c>
      <c r="D750">
        <v>42</v>
      </c>
      <c r="E750" s="1" t="s">
        <v>184</v>
      </c>
      <c r="F750" s="1" t="s">
        <v>185</v>
      </c>
      <c r="G750" s="1" t="s">
        <v>123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s="1" t="s">
        <v>77</v>
      </c>
      <c r="N750" s="1" t="s">
        <v>21</v>
      </c>
      <c r="O750">
        <v>1</v>
      </c>
      <c r="P750">
        <v>1</v>
      </c>
      <c r="Q750" t="str">
        <f t="shared" si="56"/>
        <v>MADISON MCINTOSH</v>
      </c>
      <c r="R750" t="str">
        <f t="shared" si="57"/>
        <v>china</v>
      </c>
      <c r="S750" t="str">
        <f>PROPER(global_freelancer_raw[[#This Row],[NAME UPPER]])</f>
        <v>Madison Mcintosh</v>
      </c>
      <c r="T750" t="str">
        <f t="shared" si="58"/>
        <v>Ch</v>
      </c>
      <c r="U750" t="str">
        <f t="shared" si="55"/>
        <v>son Mc</v>
      </c>
      <c r="V750" t="str">
        <f t="shared" si="59"/>
        <v>49</v>
      </c>
    </row>
    <row r="751" spans="1:22" x14ac:dyDescent="0.3">
      <c r="A751" s="1" t="s">
        <v>1586</v>
      </c>
      <c r="B751" s="1" t="s">
        <v>1587</v>
      </c>
      <c r="C751" s="1" t="s">
        <v>16</v>
      </c>
      <c r="D751">
        <v>58</v>
      </c>
      <c r="E751" s="1" t="s">
        <v>121</v>
      </c>
      <c r="F751" s="1" t="s">
        <v>122</v>
      </c>
      <c r="G751" s="1" t="s">
        <v>19</v>
      </c>
      <c r="H751">
        <v>0</v>
      </c>
      <c r="I751" t="s">
        <v>118</v>
      </c>
      <c r="J751">
        <v>4.5999999999999996</v>
      </c>
      <c r="K751">
        <v>0</v>
      </c>
      <c r="L751">
        <v>70</v>
      </c>
      <c r="M751" s="1" t="s">
        <v>72</v>
      </c>
      <c r="N751" s="1" t="s">
        <v>65</v>
      </c>
      <c r="O751">
        <v>4</v>
      </c>
      <c r="P751">
        <v>2</v>
      </c>
      <c r="Q751" t="str">
        <f t="shared" si="56"/>
        <v>DESIREE WINTERS</v>
      </c>
      <c r="R751" t="str">
        <f t="shared" si="57"/>
        <v>south korea</v>
      </c>
      <c r="S751" t="str">
        <f>PROPER(global_freelancer_raw[[#This Row],[NAME UPPER]])</f>
        <v>Desiree Winters</v>
      </c>
      <c r="T751" t="str">
        <f t="shared" si="58"/>
        <v>So</v>
      </c>
      <c r="U751" t="str">
        <f t="shared" si="55"/>
        <v>ree Wi</v>
      </c>
      <c r="V751" t="str">
        <f t="shared" si="59"/>
        <v>50</v>
      </c>
    </row>
    <row r="752" spans="1:22" x14ac:dyDescent="0.3">
      <c r="A752" s="1" t="s">
        <v>1588</v>
      </c>
      <c r="B752" s="1" t="s">
        <v>1589</v>
      </c>
      <c r="C752" s="1" t="s">
        <v>68</v>
      </c>
      <c r="D752">
        <v>41</v>
      </c>
      <c r="E752" s="1" t="s">
        <v>47</v>
      </c>
      <c r="F752" s="1" t="s">
        <v>48</v>
      </c>
      <c r="G752" s="1" t="s">
        <v>49</v>
      </c>
      <c r="H752">
        <v>21</v>
      </c>
      <c r="I752" t="s">
        <v>28</v>
      </c>
      <c r="J752">
        <v>2.2000000000000002</v>
      </c>
      <c r="K752">
        <v>1</v>
      </c>
      <c r="L752">
        <v>0.83</v>
      </c>
      <c r="M752" s="1" t="s">
        <v>51</v>
      </c>
      <c r="N752" s="1" t="s">
        <v>29</v>
      </c>
      <c r="O752">
        <v>17</v>
      </c>
      <c r="P752">
        <v>6</v>
      </c>
      <c r="Q752" t="str">
        <f t="shared" si="56"/>
        <v>RYAN TAYLOR</v>
      </c>
      <c r="R752" t="str">
        <f t="shared" si="57"/>
        <v>netherlands</v>
      </c>
      <c r="S752" t="str">
        <f>PROPER(global_freelancer_raw[[#This Row],[NAME UPPER]])</f>
        <v>Ryan Taylor</v>
      </c>
      <c r="T752" t="str">
        <f t="shared" si="58"/>
        <v>Ne</v>
      </c>
      <c r="U752" t="str">
        <f t="shared" si="55"/>
        <v xml:space="preserve"> Taylo</v>
      </c>
      <c r="V752" t="str">
        <f t="shared" si="59"/>
        <v>51</v>
      </c>
    </row>
    <row r="753" spans="1:22" x14ac:dyDescent="0.3">
      <c r="A753" s="1" t="s">
        <v>1590</v>
      </c>
      <c r="B753" s="1" t="s">
        <v>1591</v>
      </c>
      <c r="C753" s="1" t="s">
        <v>44</v>
      </c>
      <c r="E753" s="1" t="s">
        <v>80</v>
      </c>
      <c r="F753" s="1" t="s">
        <v>81</v>
      </c>
      <c r="G753" s="1" t="s">
        <v>40</v>
      </c>
      <c r="H753">
        <v>0</v>
      </c>
      <c r="I753">
        <v>40</v>
      </c>
      <c r="K753" t="s">
        <v>83</v>
      </c>
      <c r="L753">
        <v>0.74</v>
      </c>
      <c r="M753" s="1" t="s">
        <v>51</v>
      </c>
      <c r="N753" s="1" t="s">
        <v>65</v>
      </c>
      <c r="O753">
        <v>1</v>
      </c>
      <c r="P753">
        <v>2</v>
      </c>
      <c r="Q753" t="str">
        <f t="shared" si="56"/>
        <v>PATRICIA SCOTT</v>
      </c>
      <c r="R753" t="str">
        <f t="shared" si="57"/>
        <v>argentina</v>
      </c>
      <c r="S753" t="str">
        <f>PROPER(global_freelancer_raw[[#This Row],[NAME UPPER]])</f>
        <v>Patricia Scott</v>
      </c>
      <c r="T753" t="str">
        <f t="shared" si="58"/>
        <v>Ar</v>
      </c>
      <c r="U753" t="str">
        <f t="shared" si="55"/>
        <v>icia S</v>
      </c>
      <c r="V753" t="str">
        <f t="shared" si="59"/>
        <v>52</v>
      </c>
    </row>
    <row r="754" spans="1:22" x14ac:dyDescent="0.3">
      <c r="A754" s="1" t="s">
        <v>1592</v>
      </c>
      <c r="B754" s="1" t="s">
        <v>1593</v>
      </c>
      <c r="C754" s="1" t="s">
        <v>24</v>
      </c>
      <c r="D754">
        <v>23</v>
      </c>
      <c r="E754" s="1" t="s">
        <v>137</v>
      </c>
      <c r="F754" s="1" t="s">
        <v>26</v>
      </c>
      <c r="G754" s="1" t="s">
        <v>19</v>
      </c>
      <c r="H754">
        <v>0</v>
      </c>
      <c r="I754">
        <v>30</v>
      </c>
      <c r="J754">
        <v>1.1000000000000001</v>
      </c>
      <c r="K754" t="s">
        <v>76</v>
      </c>
      <c r="L754">
        <v>0.86</v>
      </c>
      <c r="M754" s="1" t="s">
        <v>51</v>
      </c>
      <c r="N754" s="1" t="s">
        <v>65</v>
      </c>
      <c r="O754">
        <v>4</v>
      </c>
      <c r="P754">
        <v>2</v>
      </c>
      <c r="Q754" t="str">
        <f t="shared" si="56"/>
        <v>ERIN JIMENEZ</v>
      </c>
      <c r="R754" t="str">
        <f t="shared" si="57"/>
        <v>canada</v>
      </c>
      <c r="S754" t="str">
        <f>PROPER(global_freelancer_raw[[#This Row],[NAME UPPER]])</f>
        <v>Erin Jimenez</v>
      </c>
      <c r="T754" t="str">
        <f t="shared" si="58"/>
        <v>Ca</v>
      </c>
      <c r="U754" t="str">
        <f t="shared" si="55"/>
        <v xml:space="preserve"> Jimen</v>
      </c>
      <c r="V754" t="str">
        <f t="shared" si="59"/>
        <v>53</v>
      </c>
    </row>
    <row r="755" spans="1:22" x14ac:dyDescent="0.3">
      <c r="A755" s="1" t="s">
        <v>1594</v>
      </c>
      <c r="B755" s="1" t="s">
        <v>1595</v>
      </c>
      <c r="C755" s="1" t="s">
        <v>101</v>
      </c>
      <c r="D755">
        <v>51</v>
      </c>
      <c r="E755" s="1" t="s">
        <v>184</v>
      </c>
      <c r="F755" s="1" t="s">
        <v>185</v>
      </c>
      <c r="G755" s="1" t="s">
        <v>19</v>
      </c>
      <c r="H755">
        <v>17</v>
      </c>
      <c r="I755">
        <v>40</v>
      </c>
      <c r="J755">
        <v>4.5</v>
      </c>
      <c r="K755">
        <v>1</v>
      </c>
      <c r="L755">
        <v>0.72</v>
      </c>
      <c r="M755" s="1" t="s">
        <v>20</v>
      </c>
      <c r="N755" s="1" t="s">
        <v>65</v>
      </c>
      <c r="O755">
        <v>11</v>
      </c>
      <c r="P755">
        <v>2</v>
      </c>
      <c r="Q755" t="str">
        <f t="shared" si="56"/>
        <v>ANTHONY KRAUSE</v>
      </c>
      <c r="R755" t="str">
        <f t="shared" si="57"/>
        <v>china</v>
      </c>
      <c r="S755" t="str">
        <f>PROPER(global_freelancer_raw[[#This Row],[NAME UPPER]])</f>
        <v>Anthony Krause</v>
      </c>
      <c r="T755" t="str">
        <f t="shared" si="58"/>
        <v>Ch</v>
      </c>
      <c r="U755" t="str">
        <f t="shared" si="55"/>
        <v>ony Kr</v>
      </c>
      <c r="V755" t="str">
        <f t="shared" si="59"/>
        <v>54</v>
      </c>
    </row>
    <row r="756" spans="1:22" x14ac:dyDescent="0.3">
      <c r="A756" s="1" t="s">
        <v>1596</v>
      </c>
      <c r="B756" s="1" t="s">
        <v>1597</v>
      </c>
      <c r="C756" s="1" t="s">
        <v>24</v>
      </c>
      <c r="D756">
        <v>42</v>
      </c>
      <c r="E756" s="1" t="s">
        <v>144</v>
      </c>
      <c r="F756" s="1" t="s">
        <v>145</v>
      </c>
      <c r="G756" s="1" t="s">
        <v>49</v>
      </c>
      <c r="H756">
        <v>21</v>
      </c>
      <c r="J756">
        <v>2.5</v>
      </c>
      <c r="K756" t="b">
        <v>1</v>
      </c>
      <c r="L756">
        <v>0.73</v>
      </c>
      <c r="M756" s="1" t="s">
        <v>72</v>
      </c>
      <c r="N756" s="1" t="s">
        <v>65</v>
      </c>
      <c r="O756">
        <v>10</v>
      </c>
      <c r="P756">
        <v>7</v>
      </c>
      <c r="Q756" t="str">
        <f t="shared" si="56"/>
        <v>DIANE DEAN</v>
      </c>
      <c r="R756" t="str">
        <f t="shared" si="57"/>
        <v>france</v>
      </c>
      <c r="S756" t="str">
        <f>PROPER(global_freelancer_raw[[#This Row],[NAME UPPER]])</f>
        <v>Diane Dean</v>
      </c>
      <c r="T756" t="str">
        <f t="shared" si="58"/>
        <v>Fr</v>
      </c>
      <c r="U756" t="str">
        <f t="shared" si="55"/>
        <v>e Dean</v>
      </c>
      <c r="V756" t="str">
        <f t="shared" si="59"/>
        <v>55</v>
      </c>
    </row>
    <row r="757" spans="1:22" x14ac:dyDescent="0.3">
      <c r="A757" s="1" t="s">
        <v>1598</v>
      </c>
      <c r="B757" s="1" t="s">
        <v>1599</v>
      </c>
      <c r="C757" s="1" t="s">
        <v>68</v>
      </c>
      <c r="D757">
        <v>26</v>
      </c>
      <c r="E757" s="1" t="s">
        <v>94</v>
      </c>
      <c r="F757" s="1" t="s">
        <v>95</v>
      </c>
      <c r="G757" s="1" t="s">
        <v>57</v>
      </c>
      <c r="H757">
        <v>7</v>
      </c>
      <c r="I757" t="s">
        <v>58</v>
      </c>
      <c r="J757">
        <v>2.9</v>
      </c>
      <c r="K757">
        <v>0</v>
      </c>
      <c r="L757">
        <v>0.78</v>
      </c>
      <c r="M757" s="1" t="s">
        <v>77</v>
      </c>
      <c r="N757" s="1" t="s">
        <v>21</v>
      </c>
      <c r="O757">
        <v>15</v>
      </c>
      <c r="P757">
        <v>1</v>
      </c>
      <c r="Q757" t="str">
        <f t="shared" si="56"/>
        <v>STUART MCKINNEY</v>
      </c>
      <c r="R757" t="str">
        <f t="shared" si="57"/>
        <v>japan</v>
      </c>
      <c r="S757" t="str">
        <f>PROPER(global_freelancer_raw[[#This Row],[NAME UPPER]])</f>
        <v>Stuart Mckinney</v>
      </c>
      <c r="T757" t="str">
        <f t="shared" si="58"/>
        <v>Ja</v>
      </c>
      <c r="U757" t="str">
        <f t="shared" si="55"/>
        <v>rt Mck</v>
      </c>
      <c r="V757" t="str">
        <f t="shared" si="59"/>
        <v>56</v>
      </c>
    </row>
    <row r="758" spans="1:22" x14ac:dyDescent="0.3">
      <c r="A758" s="1" t="s">
        <v>1600</v>
      </c>
      <c r="B758" s="1" t="s">
        <v>1601</v>
      </c>
      <c r="C758" s="1" t="s">
        <v>16</v>
      </c>
      <c r="D758">
        <v>49</v>
      </c>
      <c r="E758" s="1" t="s">
        <v>55</v>
      </c>
      <c r="F758" s="1" t="s">
        <v>56</v>
      </c>
      <c r="G758" s="1" t="s">
        <v>49</v>
      </c>
      <c r="H758">
        <v>22</v>
      </c>
      <c r="I758">
        <v>75</v>
      </c>
      <c r="J758">
        <v>0</v>
      </c>
      <c r="K758" t="b">
        <v>1</v>
      </c>
      <c r="M758" s="1" t="s">
        <v>20</v>
      </c>
      <c r="N758" s="1" t="s">
        <v>29</v>
      </c>
      <c r="O758">
        <v>16</v>
      </c>
      <c r="P758">
        <v>18</v>
      </c>
      <c r="Q758" t="str">
        <f t="shared" si="56"/>
        <v>KELLIE LE</v>
      </c>
      <c r="R758" t="str">
        <f t="shared" si="57"/>
        <v>indonesia</v>
      </c>
      <c r="S758" t="str">
        <f>PROPER(global_freelancer_raw[[#This Row],[NAME UPPER]])</f>
        <v>Kellie Le</v>
      </c>
      <c r="T758" t="str">
        <f t="shared" si="58"/>
        <v>In</v>
      </c>
      <c r="U758" t="str">
        <f t="shared" si="55"/>
        <v>ie Le</v>
      </c>
      <c r="V758" t="str">
        <f t="shared" si="59"/>
        <v>57</v>
      </c>
    </row>
    <row r="759" spans="1:22" x14ac:dyDescent="0.3">
      <c r="A759" s="1" t="s">
        <v>1602</v>
      </c>
      <c r="B759" s="1" t="s">
        <v>1603</v>
      </c>
      <c r="C759" s="1" t="s">
        <v>44</v>
      </c>
      <c r="D759">
        <v>37</v>
      </c>
      <c r="E759" s="1" t="s">
        <v>17</v>
      </c>
      <c r="F759" s="1" t="s">
        <v>18</v>
      </c>
      <c r="G759" s="1" t="s">
        <v>98</v>
      </c>
      <c r="I759" t="s">
        <v>58</v>
      </c>
      <c r="J759">
        <v>3.5</v>
      </c>
      <c r="K759" t="s">
        <v>35</v>
      </c>
      <c r="L759">
        <v>0.75</v>
      </c>
      <c r="M759" s="1" t="s">
        <v>20</v>
      </c>
      <c r="N759" s="1" t="s">
        <v>21</v>
      </c>
      <c r="O759">
        <v>2</v>
      </c>
      <c r="P759">
        <v>2</v>
      </c>
      <c r="Q759" t="str">
        <f t="shared" si="56"/>
        <v>LAUREN HENRY</v>
      </c>
      <c r="R759" t="str">
        <f t="shared" si="57"/>
        <v>italy</v>
      </c>
      <c r="S759" t="str">
        <f>PROPER(global_freelancer_raw[[#This Row],[NAME UPPER]])</f>
        <v>Lauren Henry</v>
      </c>
      <c r="T759" t="str">
        <f t="shared" si="58"/>
        <v>It</v>
      </c>
      <c r="U759" t="str">
        <f t="shared" si="55"/>
        <v>en Hen</v>
      </c>
      <c r="V759" t="str">
        <f t="shared" si="59"/>
        <v>58</v>
      </c>
    </row>
    <row r="760" spans="1:22" x14ac:dyDescent="0.3">
      <c r="A760" s="1" t="s">
        <v>1604</v>
      </c>
      <c r="B760" s="1" t="s">
        <v>1605</v>
      </c>
      <c r="C760" s="1" t="s">
        <v>101</v>
      </c>
      <c r="D760">
        <v>31</v>
      </c>
      <c r="E760" s="1" t="s">
        <v>25</v>
      </c>
      <c r="F760" s="1" t="s">
        <v>26</v>
      </c>
      <c r="G760" s="1" t="s">
        <v>49</v>
      </c>
      <c r="H760">
        <v>1</v>
      </c>
      <c r="I760">
        <v>40</v>
      </c>
      <c r="J760">
        <v>4.5</v>
      </c>
      <c r="K760">
        <v>0</v>
      </c>
      <c r="L760">
        <v>0.96</v>
      </c>
      <c r="M760" s="1" t="s">
        <v>20</v>
      </c>
      <c r="N760" s="1" t="s">
        <v>29</v>
      </c>
      <c r="O760">
        <v>1</v>
      </c>
      <c r="P760">
        <v>3</v>
      </c>
      <c r="Q760" t="str">
        <f t="shared" si="56"/>
        <v>BRANDON FOX</v>
      </c>
      <c r="R760" t="str">
        <f t="shared" si="57"/>
        <v>australia</v>
      </c>
      <c r="S760" t="str">
        <f>PROPER(global_freelancer_raw[[#This Row],[NAME UPPER]])</f>
        <v>Brandon Fox</v>
      </c>
      <c r="T760" t="str">
        <f t="shared" si="58"/>
        <v>Au</v>
      </c>
      <c r="U760" t="str">
        <f t="shared" si="55"/>
        <v>don Fo</v>
      </c>
      <c r="V760" t="str">
        <f t="shared" si="59"/>
        <v>59</v>
      </c>
    </row>
    <row r="761" spans="1:22" x14ac:dyDescent="0.3">
      <c r="A761" s="1" t="s">
        <v>1606</v>
      </c>
      <c r="B761" s="1" t="s">
        <v>1607</v>
      </c>
      <c r="C761" s="1" t="s">
        <v>68</v>
      </c>
      <c r="D761">
        <v>51</v>
      </c>
      <c r="E761" s="1" t="s">
        <v>121</v>
      </c>
      <c r="F761" s="1" t="s">
        <v>122</v>
      </c>
      <c r="G761" s="1" t="s">
        <v>27</v>
      </c>
      <c r="H761">
        <v>5</v>
      </c>
      <c r="I761" t="s">
        <v>61</v>
      </c>
      <c r="J761">
        <v>1.7</v>
      </c>
      <c r="K761" t="s">
        <v>76</v>
      </c>
      <c r="L761">
        <v>0.61</v>
      </c>
      <c r="M761" s="1" t="s">
        <v>51</v>
      </c>
      <c r="N761" s="1" t="s">
        <v>65</v>
      </c>
      <c r="O761">
        <v>3</v>
      </c>
      <c r="P761">
        <v>3</v>
      </c>
      <c r="Q761" t="str">
        <f t="shared" si="56"/>
        <v>RICHARD SMITH</v>
      </c>
      <c r="R761" t="str">
        <f t="shared" si="57"/>
        <v>south korea</v>
      </c>
      <c r="S761" t="str">
        <f>PROPER(global_freelancer_raw[[#This Row],[NAME UPPER]])</f>
        <v>Richard Smith</v>
      </c>
      <c r="T761" t="str">
        <f t="shared" si="58"/>
        <v>So</v>
      </c>
      <c r="U761" t="str">
        <f t="shared" si="55"/>
        <v>ard Sm</v>
      </c>
      <c r="V761" t="str">
        <f t="shared" si="59"/>
        <v>60</v>
      </c>
    </row>
    <row r="762" spans="1:22" x14ac:dyDescent="0.3">
      <c r="A762" s="1" t="s">
        <v>1608</v>
      </c>
      <c r="B762" s="1" t="s">
        <v>1609</v>
      </c>
      <c r="C762" s="1" t="s">
        <v>54</v>
      </c>
      <c r="D762">
        <v>60</v>
      </c>
      <c r="E762" s="1" t="s">
        <v>184</v>
      </c>
      <c r="F762" s="1" t="s">
        <v>185</v>
      </c>
      <c r="G762" s="1" t="s">
        <v>98</v>
      </c>
      <c r="H762">
        <v>40</v>
      </c>
      <c r="I762">
        <v>50</v>
      </c>
      <c r="J762">
        <v>4.5999999999999996</v>
      </c>
      <c r="K762" t="b">
        <v>1</v>
      </c>
      <c r="L762">
        <v>1</v>
      </c>
      <c r="M762" s="1" t="s">
        <v>72</v>
      </c>
      <c r="N762" s="1" t="s">
        <v>36</v>
      </c>
      <c r="O762">
        <v>13</v>
      </c>
      <c r="P762">
        <v>2</v>
      </c>
      <c r="Q762" t="str">
        <f t="shared" si="56"/>
        <v>JOHN WHITE</v>
      </c>
      <c r="R762" t="str">
        <f t="shared" si="57"/>
        <v>china</v>
      </c>
      <c r="S762" t="str">
        <f>PROPER(global_freelancer_raw[[#This Row],[NAME UPPER]])</f>
        <v>John White</v>
      </c>
      <c r="T762" t="str">
        <f t="shared" si="58"/>
        <v>Ch</v>
      </c>
      <c r="U762" t="str">
        <f t="shared" si="55"/>
        <v xml:space="preserve"> White</v>
      </c>
      <c r="V762" t="str">
        <f t="shared" si="59"/>
        <v>61</v>
      </c>
    </row>
    <row r="763" spans="1:22" x14ac:dyDescent="0.3">
      <c r="A763" s="1" t="s">
        <v>1610</v>
      </c>
      <c r="B763" s="1" t="s">
        <v>1611</v>
      </c>
      <c r="C763" s="1" t="s">
        <v>101</v>
      </c>
      <c r="D763">
        <v>51</v>
      </c>
      <c r="E763" s="1" t="s">
        <v>137</v>
      </c>
      <c r="F763" s="1" t="s">
        <v>26</v>
      </c>
      <c r="G763" s="1" t="s">
        <v>19</v>
      </c>
      <c r="H763">
        <v>19</v>
      </c>
      <c r="I763">
        <v>50</v>
      </c>
      <c r="K763" t="s">
        <v>83</v>
      </c>
      <c r="L763">
        <v>0.82</v>
      </c>
      <c r="M763" s="1" t="s">
        <v>20</v>
      </c>
      <c r="N763" s="1" t="s">
        <v>21</v>
      </c>
      <c r="O763">
        <v>17</v>
      </c>
      <c r="P763">
        <v>4</v>
      </c>
      <c r="Q763" t="str">
        <f t="shared" si="56"/>
        <v>GILBERT MCINTYRE</v>
      </c>
      <c r="R763" t="str">
        <f t="shared" si="57"/>
        <v>canada</v>
      </c>
      <c r="S763" t="str">
        <f>PROPER(global_freelancer_raw[[#This Row],[NAME UPPER]])</f>
        <v>Gilbert Mcintyre</v>
      </c>
      <c r="T763" t="str">
        <f t="shared" si="58"/>
        <v>Ca</v>
      </c>
      <c r="U763" t="str">
        <f t="shared" si="55"/>
        <v>ert Mc</v>
      </c>
      <c r="V763" t="str">
        <f t="shared" si="59"/>
        <v>62</v>
      </c>
    </row>
    <row r="764" spans="1:22" x14ac:dyDescent="0.3">
      <c r="A764" s="1" t="s">
        <v>1612</v>
      </c>
      <c r="B764" s="1" t="s">
        <v>1613</v>
      </c>
      <c r="C764" s="1" t="s">
        <v>54</v>
      </c>
      <c r="D764">
        <v>37</v>
      </c>
      <c r="E764" s="1" t="s">
        <v>33</v>
      </c>
      <c r="F764" s="1" t="s">
        <v>33</v>
      </c>
      <c r="G764" s="1" t="s">
        <v>34</v>
      </c>
      <c r="H764">
        <v>12</v>
      </c>
      <c r="J764">
        <v>4.9000000000000004</v>
      </c>
      <c r="K764">
        <v>1</v>
      </c>
      <c r="L764">
        <v>0.8</v>
      </c>
      <c r="M764" s="1" t="s">
        <v>77</v>
      </c>
      <c r="N764" s="1" t="s">
        <v>36</v>
      </c>
      <c r="O764">
        <v>7</v>
      </c>
      <c r="P764">
        <v>6</v>
      </c>
      <c r="Q764" t="str">
        <f t="shared" si="56"/>
        <v>CHRISTOPHER SPARKS</v>
      </c>
      <c r="R764" t="str">
        <f t="shared" si="57"/>
        <v>germany</v>
      </c>
      <c r="S764" t="str">
        <f>PROPER(global_freelancer_raw[[#This Row],[NAME UPPER]])</f>
        <v>Christopher Sparks</v>
      </c>
      <c r="T764" t="str">
        <f t="shared" si="58"/>
        <v>Ge</v>
      </c>
      <c r="U764" t="str">
        <f t="shared" si="55"/>
        <v>stophe</v>
      </c>
      <c r="V764" t="str">
        <f t="shared" si="59"/>
        <v>63</v>
      </c>
    </row>
    <row r="765" spans="1:22" x14ac:dyDescent="0.3">
      <c r="A765" s="1" t="s">
        <v>1614</v>
      </c>
      <c r="B765" s="1" t="s">
        <v>1615</v>
      </c>
      <c r="C765" s="1" t="s">
        <v>32</v>
      </c>
      <c r="D765">
        <v>52</v>
      </c>
      <c r="E765" s="1" t="s">
        <v>102</v>
      </c>
      <c r="F765" s="1" t="s">
        <v>103</v>
      </c>
      <c r="G765" s="1" t="s">
        <v>19</v>
      </c>
      <c r="H765">
        <v>7</v>
      </c>
      <c r="I765">
        <v>40</v>
      </c>
      <c r="J765">
        <v>2.2000000000000002</v>
      </c>
      <c r="L765">
        <v>0.96</v>
      </c>
      <c r="M765" s="1" t="s">
        <v>72</v>
      </c>
      <c r="N765" s="1" t="s">
        <v>21</v>
      </c>
      <c r="O765">
        <v>8</v>
      </c>
      <c r="P765">
        <v>8</v>
      </c>
      <c r="Q765" t="str">
        <f t="shared" si="56"/>
        <v>AARON HICKS</v>
      </c>
      <c r="R765" t="str">
        <f t="shared" si="57"/>
        <v>india</v>
      </c>
      <c r="S765" t="str">
        <f>PROPER(global_freelancer_raw[[#This Row],[NAME UPPER]])</f>
        <v>Aaron Hicks</v>
      </c>
      <c r="T765" t="str">
        <f t="shared" si="58"/>
        <v>In</v>
      </c>
      <c r="U765" t="str">
        <f t="shared" si="55"/>
        <v>n Hick</v>
      </c>
      <c r="V765" t="str">
        <f t="shared" si="59"/>
        <v>64</v>
      </c>
    </row>
    <row r="766" spans="1:22" x14ac:dyDescent="0.3">
      <c r="A766" s="1" t="s">
        <v>1616</v>
      </c>
      <c r="B766" s="1" t="s">
        <v>1617</v>
      </c>
      <c r="C766" s="1" t="s">
        <v>54</v>
      </c>
      <c r="D766">
        <v>27</v>
      </c>
      <c r="E766" s="1" t="s">
        <v>55</v>
      </c>
      <c r="F766" s="1" t="s">
        <v>56</v>
      </c>
      <c r="G766" s="1" t="s">
        <v>19</v>
      </c>
      <c r="H766">
        <v>4</v>
      </c>
      <c r="I766">
        <v>20</v>
      </c>
      <c r="K766">
        <v>0</v>
      </c>
      <c r="L766">
        <v>0.63</v>
      </c>
      <c r="M766" s="1" t="s">
        <v>77</v>
      </c>
      <c r="N766" s="1" t="s">
        <v>65</v>
      </c>
      <c r="O766">
        <v>3</v>
      </c>
      <c r="P766">
        <v>3</v>
      </c>
      <c r="Q766" t="str">
        <f t="shared" si="56"/>
        <v>JOSE PATTERSON</v>
      </c>
      <c r="R766" t="str">
        <f t="shared" si="57"/>
        <v>indonesia</v>
      </c>
      <c r="S766" t="str">
        <f>PROPER(global_freelancer_raw[[#This Row],[NAME UPPER]])</f>
        <v>Jose Patterson</v>
      </c>
      <c r="T766" t="str">
        <f t="shared" si="58"/>
        <v>In</v>
      </c>
      <c r="U766" t="str">
        <f t="shared" si="55"/>
        <v xml:space="preserve"> Patte</v>
      </c>
      <c r="V766" t="str">
        <f t="shared" si="59"/>
        <v>65</v>
      </c>
    </row>
    <row r="767" spans="1:22" x14ac:dyDescent="0.3">
      <c r="A767" s="1" t="s">
        <v>1618</v>
      </c>
      <c r="B767" s="1" t="s">
        <v>1619</v>
      </c>
      <c r="C767" s="1" t="s">
        <v>54</v>
      </c>
      <c r="D767">
        <v>48</v>
      </c>
      <c r="E767" s="1" t="s">
        <v>25</v>
      </c>
      <c r="F767" s="1" t="s">
        <v>26</v>
      </c>
      <c r="G767" s="1" t="s">
        <v>34</v>
      </c>
      <c r="H767">
        <v>24</v>
      </c>
      <c r="I767" t="s">
        <v>41</v>
      </c>
      <c r="J767">
        <v>2.2000000000000002</v>
      </c>
      <c r="K767">
        <v>0</v>
      </c>
      <c r="L767">
        <v>0.67</v>
      </c>
      <c r="M767" s="1" t="s">
        <v>72</v>
      </c>
      <c r="N767" s="1" t="s">
        <v>21</v>
      </c>
      <c r="O767">
        <v>12</v>
      </c>
      <c r="P767">
        <v>13</v>
      </c>
      <c r="Q767" t="str">
        <f t="shared" si="56"/>
        <v>BRYAN LONG</v>
      </c>
      <c r="R767" t="str">
        <f t="shared" si="57"/>
        <v>australia</v>
      </c>
      <c r="S767" t="str">
        <f>PROPER(global_freelancer_raw[[#This Row],[NAME UPPER]])</f>
        <v>Bryan Long</v>
      </c>
      <c r="T767" t="str">
        <f t="shared" si="58"/>
        <v>Au</v>
      </c>
      <c r="U767" t="str">
        <f t="shared" si="55"/>
        <v>n Long</v>
      </c>
      <c r="V767" t="str">
        <f t="shared" si="59"/>
        <v>66</v>
      </c>
    </row>
    <row r="768" spans="1:22" x14ac:dyDescent="0.3">
      <c r="A768" s="1" t="s">
        <v>1620</v>
      </c>
      <c r="B768" s="1" t="s">
        <v>1621</v>
      </c>
      <c r="C768" s="1" t="s">
        <v>39</v>
      </c>
      <c r="D768">
        <v>22</v>
      </c>
      <c r="E768" s="1" t="s">
        <v>94</v>
      </c>
      <c r="F768" s="1" t="s">
        <v>95</v>
      </c>
      <c r="G768" s="1" t="s">
        <v>57</v>
      </c>
      <c r="H768">
        <v>1</v>
      </c>
      <c r="I768" t="s">
        <v>118</v>
      </c>
      <c r="J768">
        <v>3.3</v>
      </c>
      <c r="K768">
        <v>1</v>
      </c>
      <c r="L768">
        <v>0.61</v>
      </c>
      <c r="M768" s="1" t="s">
        <v>77</v>
      </c>
      <c r="N768" s="1" t="s">
        <v>65</v>
      </c>
      <c r="O768">
        <v>3</v>
      </c>
      <c r="P768">
        <v>5</v>
      </c>
      <c r="Q768" t="str">
        <f t="shared" si="56"/>
        <v>TAMMY GOMEZ</v>
      </c>
      <c r="R768" t="str">
        <f t="shared" si="57"/>
        <v>japan</v>
      </c>
      <c r="S768" t="str">
        <f>PROPER(global_freelancer_raw[[#This Row],[NAME UPPER]])</f>
        <v>Tammy Gomez</v>
      </c>
      <c r="T768" t="str">
        <f t="shared" si="58"/>
        <v>Ja</v>
      </c>
      <c r="U768" t="str">
        <f t="shared" si="55"/>
        <v>y Gome</v>
      </c>
      <c r="V768" t="str">
        <f t="shared" si="59"/>
        <v>67</v>
      </c>
    </row>
    <row r="769" spans="1:22" x14ac:dyDescent="0.3">
      <c r="A769" s="1" t="s">
        <v>1622</v>
      </c>
      <c r="B769" s="1" t="s">
        <v>1623</v>
      </c>
      <c r="C769" s="1" t="s">
        <v>24</v>
      </c>
      <c r="D769">
        <v>48</v>
      </c>
      <c r="E769" s="1" t="s">
        <v>33</v>
      </c>
      <c r="F769" s="1" t="s">
        <v>33</v>
      </c>
      <c r="G769" s="1" t="s">
        <v>27</v>
      </c>
      <c r="H769">
        <v>28</v>
      </c>
      <c r="I769" t="s">
        <v>118</v>
      </c>
      <c r="J769">
        <v>4.9000000000000004</v>
      </c>
      <c r="K769">
        <v>0</v>
      </c>
      <c r="L769">
        <v>0.77</v>
      </c>
      <c r="M769" s="1" t="s">
        <v>51</v>
      </c>
      <c r="N769" s="1" t="s">
        <v>21</v>
      </c>
      <c r="O769">
        <v>19</v>
      </c>
      <c r="P769">
        <v>8</v>
      </c>
      <c r="Q769" t="str">
        <f t="shared" si="56"/>
        <v>DIANA RAYMOND</v>
      </c>
      <c r="R769" t="str">
        <f t="shared" si="57"/>
        <v>germany</v>
      </c>
      <c r="S769" t="str">
        <f>PROPER(global_freelancer_raw[[#This Row],[NAME UPPER]])</f>
        <v>Diana Raymond</v>
      </c>
      <c r="T769" t="str">
        <f t="shared" si="58"/>
        <v>Ge</v>
      </c>
      <c r="U769" t="str">
        <f t="shared" si="55"/>
        <v>a Raym</v>
      </c>
      <c r="V769" t="str">
        <f t="shared" si="59"/>
        <v>68</v>
      </c>
    </row>
    <row r="770" spans="1:22" x14ac:dyDescent="0.3">
      <c r="A770" s="1" t="s">
        <v>1624</v>
      </c>
      <c r="B770" s="1" t="s">
        <v>1625</v>
      </c>
      <c r="C770" s="1" t="s">
        <v>39</v>
      </c>
      <c r="D770">
        <v>54</v>
      </c>
      <c r="E770" s="1" t="s">
        <v>64</v>
      </c>
      <c r="F770" s="1" t="s">
        <v>26</v>
      </c>
      <c r="G770" s="1" t="s">
        <v>27</v>
      </c>
      <c r="H770">
        <v>19</v>
      </c>
      <c r="I770">
        <v>75</v>
      </c>
      <c r="J770">
        <v>0</v>
      </c>
      <c r="M770" s="1" t="s">
        <v>20</v>
      </c>
      <c r="N770" s="1" t="s">
        <v>65</v>
      </c>
      <c r="O770">
        <v>14</v>
      </c>
      <c r="P770">
        <v>9</v>
      </c>
      <c r="Q770" t="str">
        <f t="shared" si="56"/>
        <v>JESSICA ARMSTRONG</v>
      </c>
      <c r="R770" t="str">
        <f t="shared" si="57"/>
        <v>us</v>
      </c>
      <c r="S770" t="str">
        <f>PROPER(global_freelancer_raw[[#This Row],[NAME UPPER]])</f>
        <v>Jessica Armstrong</v>
      </c>
      <c r="T770" t="str">
        <f t="shared" si="58"/>
        <v>US</v>
      </c>
      <c r="U770" t="str">
        <f t="shared" ref="U770:U833" si="60">MID(B770,5,6)</f>
        <v>ica Ar</v>
      </c>
      <c r="V770" t="str">
        <f t="shared" si="59"/>
        <v>69</v>
      </c>
    </row>
    <row r="771" spans="1:22" x14ac:dyDescent="0.3">
      <c r="A771" s="1" t="s">
        <v>1626</v>
      </c>
      <c r="B771" s="1" t="s">
        <v>1627</v>
      </c>
      <c r="C771" s="1" t="s">
        <v>86</v>
      </c>
      <c r="D771">
        <v>52</v>
      </c>
      <c r="E771" s="1" t="s">
        <v>121</v>
      </c>
      <c r="F771" s="1" t="s">
        <v>122</v>
      </c>
      <c r="G771" s="1" t="s">
        <v>57</v>
      </c>
      <c r="H771">
        <v>4</v>
      </c>
      <c r="I771">
        <v>50</v>
      </c>
      <c r="K771" t="s">
        <v>35</v>
      </c>
      <c r="L771">
        <v>0.84</v>
      </c>
      <c r="M771" s="1" t="s">
        <v>77</v>
      </c>
      <c r="N771" s="1" t="s">
        <v>65</v>
      </c>
      <c r="O771">
        <v>5</v>
      </c>
      <c r="P771">
        <v>1</v>
      </c>
      <c r="Q771" t="str">
        <f t="shared" ref="Q771:Q834" si="61">UPPER(B771)</f>
        <v>AMANDA MARTIN</v>
      </c>
      <c r="R771" t="str">
        <f t="shared" ref="R771:R834" si="62">LOWER(E771)</f>
        <v>south korea</v>
      </c>
      <c r="S771" t="str">
        <f>PROPER(global_freelancer_raw[[#This Row],[NAME UPPER]])</f>
        <v>Amanda Martin</v>
      </c>
      <c r="T771" t="str">
        <f t="shared" ref="T771:T834" si="63">LEFT(E771,"2")</f>
        <v>So</v>
      </c>
      <c r="U771" t="str">
        <f t="shared" si="60"/>
        <v>da Mar</v>
      </c>
      <c r="V771" t="str">
        <f t="shared" ref="V771:V834" si="64">RIGHT(A771,"2")</f>
        <v>70</v>
      </c>
    </row>
    <row r="772" spans="1:22" x14ac:dyDescent="0.3">
      <c r="A772" s="1" t="s">
        <v>1628</v>
      </c>
      <c r="B772" s="1" t="s">
        <v>1629</v>
      </c>
      <c r="C772" s="1" t="s">
        <v>44</v>
      </c>
      <c r="D772">
        <v>39</v>
      </c>
      <c r="E772" s="1" t="s">
        <v>69</v>
      </c>
      <c r="F772" s="1" t="s">
        <v>70</v>
      </c>
      <c r="G772" s="1" t="s">
        <v>40</v>
      </c>
      <c r="H772">
        <v>20</v>
      </c>
      <c r="I772" t="s">
        <v>28</v>
      </c>
      <c r="K772" t="s">
        <v>83</v>
      </c>
      <c r="L772">
        <v>0.89</v>
      </c>
      <c r="M772" s="1" t="s">
        <v>72</v>
      </c>
      <c r="N772" s="1" t="s">
        <v>29</v>
      </c>
      <c r="O772">
        <v>13</v>
      </c>
      <c r="P772">
        <v>2</v>
      </c>
      <c r="Q772" t="str">
        <f t="shared" si="61"/>
        <v>ANNE HAMILTON</v>
      </c>
      <c r="R772" t="str">
        <f t="shared" si="62"/>
        <v>turkey</v>
      </c>
      <c r="S772" t="str">
        <f>PROPER(global_freelancer_raw[[#This Row],[NAME UPPER]])</f>
        <v>Anne Hamilton</v>
      </c>
      <c r="T772" t="str">
        <f t="shared" si="63"/>
        <v>Tu</v>
      </c>
      <c r="U772" t="str">
        <f t="shared" si="60"/>
        <v xml:space="preserve"> Hamil</v>
      </c>
      <c r="V772" t="str">
        <f t="shared" si="64"/>
        <v>71</v>
      </c>
    </row>
    <row r="773" spans="1:22" x14ac:dyDescent="0.3">
      <c r="A773" s="1" t="s">
        <v>1630</v>
      </c>
      <c r="B773" s="1" t="s">
        <v>1631</v>
      </c>
      <c r="C773" s="1" t="s">
        <v>16</v>
      </c>
      <c r="D773">
        <v>54</v>
      </c>
      <c r="E773" s="1" t="s">
        <v>133</v>
      </c>
      <c r="F773" s="1" t="s">
        <v>134</v>
      </c>
      <c r="G773" s="1" t="s">
        <v>27</v>
      </c>
      <c r="H773">
        <v>19</v>
      </c>
      <c r="I773" t="s">
        <v>118</v>
      </c>
      <c r="J773">
        <v>4</v>
      </c>
      <c r="L773">
        <v>0.9</v>
      </c>
      <c r="M773" s="1" t="s">
        <v>20</v>
      </c>
      <c r="N773" s="1" t="s">
        <v>65</v>
      </c>
      <c r="O773">
        <v>14</v>
      </c>
      <c r="P773">
        <v>3</v>
      </c>
      <c r="Q773" t="str">
        <f t="shared" si="61"/>
        <v>HEATHER CURTIS</v>
      </c>
      <c r="R773" t="str">
        <f t="shared" si="62"/>
        <v>russia</v>
      </c>
      <c r="S773" t="str">
        <f>PROPER(global_freelancer_raw[[#This Row],[NAME UPPER]])</f>
        <v>Heather Curtis</v>
      </c>
      <c r="T773" t="str">
        <f t="shared" si="63"/>
        <v>Ru</v>
      </c>
      <c r="U773" t="str">
        <f t="shared" si="60"/>
        <v>her Cu</v>
      </c>
      <c r="V773" t="str">
        <f t="shared" si="64"/>
        <v>72</v>
      </c>
    </row>
    <row r="774" spans="1:22" x14ac:dyDescent="0.3">
      <c r="A774" s="1" t="s">
        <v>1632</v>
      </c>
      <c r="B774" s="1" t="s">
        <v>1633</v>
      </c>
      <c r="C774" s="1" t="s">
        <v>86</v>
      </c>
      <c r="D774">
        <v>22</v>
      </c>
      <c r="E774" s="1" t="s">
        <v>64</v>
      </c>
      <c r="F774" s="1" t="s">
        <v>26</v>
      </c>
      <c r="G774" s="1" t="s">
        <v>87</v>
      </c>
      <c r="H774">
        <v>1</v>
      </c>
      <c r="I774">
        <v>20</v>
      </c>
      <c r="J774">
        <v>4.8</v>
      </c>
      <c r="K774" t="b">
        <v>0</v>
      </c>
      <c r="L774">
        <v>0.87</v>
      </c>
      <c r="M774" s="1" t="s">
        <v>20</v>
      </c>
      <c r="N774" s="1" t="s">
        <v>29</v>
      </c>
      <c r="O774">
        <v>3</v>
      </c>
      <c r="P774">
        <v>4</v>
      </c>
      <c r="Q774" t="str">
        <f t="shared" si="61"/>
        <v>TIFFANY MOSES</v>
      </c>
      <c r="R774" t="str">
        <f t="shared" si="62"/>
        <v>us</v>
      </c>
      <c r="S774" t="str">
        <f>PROPER(global_freelancer_raw[[#This Row],[NAME UPPER]])</f>
        <v>Tiffany Moses</v>
      </c>
      <c r="T774" t="str">
        <f t="shared" si="63"/>
        <v>US</v>
      </c>
      <c r="U774" t="str">
        <f t="shared" si="60"/>
        <v>any Mo</v>
      </c>
      <c r="V774" t="str">
        <f t="shared" si="64"/>
        <v>73</v>
      </c>
    </row>
    <row r="775" spans="1:22" x14ac:dyDescent="0.3">
      <c r="A775" s="1" t="s">
        <v>1634</v>
      </c>
      <c r="B775" s="1" t="s">
        <v>1635</v>
      </c>
      <c r="C775" s="1" t="s">
        <v>24</v>
      </c>
      <c r="D775">
        <v>29</v>
      </c>
      <c r="E775" s="1" t="s">
        <v>162</v>
      </c>
      <c r="F775" s="1" t="s">
        <v>163</v>
      </c>
      <c r="G775" s="1" t="s">
        <v>27</v>
      </c>
      <c r="H775">
        <v>8</v>
      </c>
      <c r="I775">
        <v>50</v>
      </c>
      <c r="J775">
        <v>0</v>
      </c>
      <c r="K775">
        <v>0</v>
      </c>
      <c r="L775">
        <v>0.77</v>
      </c>
      <c r="M775" s="1" t="s">
        <v>72</v>
      </c>
      <c r="N775" s="1" t="s">
        <v>65</v>
      </c>
      <c r="O775">
        <v>11</v>
      </c>
      <c r="P775">
        <v>3</v>
      </c>
      <c r="Q775" t="str">
        <f t="shared" si="61"/>
        <v>JACQUELINE MOON</v>
      </c>
      <c r="R775" t="str">
        <f t="shared" si="62"/>
        <v>south africa</v>
      </c>
      <c r="S775" t="str">
        <f>PROPER(global_freelancer_raw[[#This Row],[NAME UPPER]])</f>
        <v>Jacqueline Moon</v>
      </c>
      <c r="T775" t="str">
        <f t="shared" si="63"/>
        <v>So</v>
      </c>
      <c r="U775" t="str">
        <f t="shared" si="60"/>
        <v>ueline</v>
      </c>
      <c r="V775" t="str">
        <f t="shared" si="64"/>
        <v>74</v>
      </c>
    </row>
    <row r="776" spans="1:22" x14ac:dyDescent="0.3">
      <c r="A776" s="1" t="s">
        <v>1636</v>
      </c>
      <c r="B776" s="1" t="s">
        <v>1637</v>
      </c>
      <c r="C776" s="1" t="s">
        <v>101</v>
      </c>
      <c r="D776">
        <v>23</v>
      </c>
      <c r="E776" s="1" t="s">
        <v>199</v>
      </c>
      <c r="F776" s="1" t="s">
        <v>81</v>
      </c>
      <c r="G776" s="1" t="s">
        <v>98</v>
      </c>
      <c r="H776">
        <v>3</v>
      </c>
      <c r="I776" t="s">
        <v>118</v>
      </c>
      <c r="J776">
        <v>1.6</v>
      </c>
      <c r="K776" t="s">
        <v>83</v>
      </c>
      <c r="L776">
        <v>0.72</v>
      </c>
      <c r="M776" s="1" t="s">
        <v>77</v>
      </c>
      <c r="N776" s="1" t="s">
        <v>36</v>
      </c>
      <c r="O776">
        <v>1</v>
      </c>
      <c r="P776">
        <v>1</v>
      </c>
      <c r="Q776" t="str">
        <f t="shared" si="61"/>
        <v>JAMES CAMPBELL</v>
      </c>
      <c r="R776" t="str">
        <f t="shared" si="62"/>
        <v>spain</v>
      </c>
      <c r="S776" t="str">
        <f>PROPER(global_freelancer_raw[[#This Row],[NAME UPPER]])</f>
        <v>James Campbell</v>
      </c>
      <c r="T776" t="str">
        <f t="shared" si="63"/>
        <v>Sp</v>
      </c>
      <c r="U776" t="str">
        <f t="shared" si="60"/>
        <v>s Camp</v>
      </c>
      <c r="V776" t="str">
        <f t="shared" si="64"/>
        <v>75</v>
      </c>
    </row>
    <row r="777" spans="1:22" x14ac:dyDescent="0.3">
      <c r="A777" s="1" t="s">
        <v>1638</v>
      </c>
      <c r="B777" s="1" t="s">
        <v>1639</v>
      </c>
      <c r="C777" s="1" t="s">
        <v>39</v>
      </c>
      <c r="D777">
        <v>58</v>
      </c>
      <c r="E777" s="1" t="s">
        <v>188</v>
      </c>
      <c r="F777" s="1" t="s">
        <v>81</v>
      </c>
      <c r="G777" s="1" t="s">
        <v>98</v>
      </c>
      <c r="H777">
        <v>30</v>
      </c>
      <c r="I777">
        <v>50</v>
      </c>
      <c r="J777">
        <v>1.3</v>
      </c>
      <c r="K777" t="s">
        <v>76</v>
      </c>
      <c r="L777">
        <v>0.87</v>
      </c>
      <c r="M777" s="1" t="s">
        <v>51</v>
      </c>
      <c r="N777" s="1" t="s">
        <v>65</v>
      </c>
      <c r="O777">
        <v>13</v>
      </c>
      <c r="P777">
        <v>6</v>
      </c>
      <c r="Q777" t="str">
        <f t="shared" si="61"/>
        <v>MELISSA VASQUEZ</v>
      </c>
      <c r="R777" t="str">
        <f t="shared" si="62"/>
        <v>mexico</v>
      </c>
      <c r="S777" t="str">
        <f>PROPER(global_freelancer_raw[[#This Row],[NAME UPPER]])</f>
        <v>Melissa Vasquez</v>
      </c>
      <c r="T777" t="str">
        <f t="shared" si="63"/>
        <v>Me</v>
      </c>
      <c r="U777" t="str">
        <f t="shared" si="60"/>
        <v>ssa Va</v>
      </c>
      <c r="V777" t="str">
        <f t="shared" si="64"/>
        <v>76</v>
      </c>
    </row>
    <row r="778" spans="1:22" x14ac:dyDescent="0.3">
      <c r="A778" s="1" t="s">
        <v>1640</v>
      </c>
      <c r="B778" s="1" t="s">
        <v>1641</v>
      </c>
      <c r="C778" s="1" t="s">
        <v>16</v>
      </c>
      <c r="D778">
        <v>56</v>
      </c>
      <c r="E778" s="1" t="s">
        <v>184</v>
      </c>
      <c r="F778" s="1" t="s">
        <v>185</v>
      </c>
      <c r="G778" s="1" t="s">
        <v>19</v>
      </c>
      <c r="H778">
        <v>3</v>
      </c>
      <c r="I778">
        <v>40</v>
      </c>
      <c r="J778">
        <v>4.0999999999999996</v>
      </c>
      <c r="K778" t="b">
        <v>1</v>
      </c>
      <c r="L778">
        <v>0.89</v>
      </c>
      <c r="M778" s="1" t="s">
        <v>51</v>
      </c>
      <c r="N778" s="1" t="s">
        <v>36</v>
      </c>
      <c r="O778">
        <v>5</v>
      </c>
      <c r="P778">
        <v>1</v>
      </c>
      <c r="Q778" t="str">
        <f t="shared" si="61"/>
        <v>KATHERINE CARLSON</v>
      </c>
      <c r="R778" t="str">
        <f t="shared" si="62"/>
        <v>china</v>
      </c>
      <c r="S778" t="str">
        <f>PROPER(global_freelancer_raw[[#This Row],[NAME UPPER]])</f>
        <v>Katherine Carlson</v>
      </c>
      <c r="T778" t="str">
        <f t="shared" si="63"/>
        <v>Ch</v>
      </c>
      <c r="U778" t="str">
        <f t="shared" si="60"/>
        <v xml:space="preserve">erine </v>
      </c>
      <c r="V778" t="str">
        <f t="shared" si="64"/>
        <v>77</v>
      </c>
    </row>
    <row r="779" spans="1:22" x14ac:dyDescent="0.3">
      <c r="A779" s="1" t="s">
        <v>1642</v>
      </c>
      <c r="B779" s="1" t="s">
        <v>1643</v>
      </c>
      <c r="C779" s="1" t="s">
        <v>101</v>
      </c>
      <c r="D779">
        <v>48</v>
      </c>
      <c r="E779" s="1" t="s">
        <v>69</v>
      </c>
      <c r="F779" s="1" t="s">
        <v>70</v>
      </c>
      <c r="G779" s="1" t="s">
        <v>40</v>
      </c>
      <c r="H779">
        <v>19</v>
      </c>
      <c r="I779">
        <v>40</v>
      </c>
      <c r="J779">
        <v>1.5</v>
      </c>
      <c r="K779">
        <v>0</v>
      </c>
      <c r="L779">
        <v>0.87</v>
      </c>
      <c r="M779" s="1" t="s">
        <v>77</v>
      </c>
      <c r="N779" s="1" t="s">
        <v>36</v>
      </c>
      <c r="O779">
        <v>14</v>
      </c>
      <c r="P779">
        <v>11</v>
      </c>
      <c r="Q779" t="str">
        <f t="shared" si="61"/>
        <v>ADAM CLAY</v>
      </c>
      <c r="R779" t="str">
        <f t="shared" si="62"/>
        <v>turkey</v>
      </c>
      <c r="S779" t="str">
        <f>PROPER(global_freelancer_raw[[#This Row],[NAME UPPER]])</f>
        <v>Adam Clay</v>
      </c>
      <c r="T779" t="str">
        <f t="shared" si="63"/>
        <v>Tu</v>
      </c>
      <c r="U779" t="str">
        <f t="shared" si="60"/>
        <v xml:space="preserve"> Clay</v>
      </c>
      <c r="V779" t="str">
        <f t="shared" si="64"/>
        <v>78</v>
      </c>
    </row>
    <row r="780" spans="1:22" x14ac:dyDescent="0.3">
      <c r="A780" s="1" t="s">
        <v>1644</v>
      </c>
      <c r="B780" s="1" t="s">
        <v>1645</v>
      </c>
      <c r="C780" s="1" t="s">
        <v>86</v>
      </c>
      <c r="D780">
        <v>31</v>
      </c>
      <c r="E780" s="1" t="s">
        <v>133</v>
      </c>
      <c r="F780" s="1" t="s">
        <v>134</v>
      </c>
      <c r="G780" s="1" t="s">
        <v>27</v>
      </c>
      <c r="H780">
        <v>11</v>
      </c>
      <c r="I780" t="s">
        <v>61</v>
      </c>
      <c r="J780">
        <v>4.3</v>
      </c>
      <c r="K780" t="s">
        <v>83</v>
      </c>
      <c r="L780">
        <v>0.76</v>
      </c>
      <c r="M780" s="1" t="s">
        <v>20</v>
      </c>
      <c r="N780" s="1" t="s">
        <v>65</v>
      </c>
      <c r="O780">
        <v>6</v>
      </c>
      <c r="P780">
        <v>3</v>
      </c>
      <c r="Q780" t="str">
        <f t="shared" si="61"/>
        <v>AMY COMBS</v>
      </c>
      <c r="R780" t="str">
        <f t="shared" si="62"/>
        <v>russia</v>
      </c>
      <c r="S780" t="str">
        <f>PROPER(global_freelancer_raw[[#This Row],[NAME UPPER]])</f>
        <v>Amy Combs</v>
      </c>
      <c r="T780" t="str">
        <f t="shared" si="63"/>
        <v>Ru</v>
      </c>
      <c r="U780" t="str">
        <f t="shared" si="60"/>
        <v>Combs</v>
      </c>
      <c r="V780" t="str">
        <f t="shared" si="64"/>
        <v>79</v>
      </c>
    </row>
    <row r="781" spans="1:22" x14ac:dyDescent="0.3">
      <c r="A781" s="1" t="s">
        <v>1646</v>
      </c>
      <c r="B781" s="1" t="s">
        <v>1647</v>
      </c>
      <c r="C781" s="1" t="s">
        <v>101</v>
      </c>
      <c r="D781">
        <v>44</v>
      </c>
      <c r="E781" s="1" t="s">
        <v>25</v>
      </c>
      <c r="F781" s="1" t="s">
        <v>26</v>
      </c>
      <c r="G781" s="1" t="s">
        <v>123</v>
      </c>
      <c r="H781">
        <v>26</v>
      </c>
      <c r="I781">
        <v>50</v>
      </c>
      <c r="J781">
        <v>1.6</v>
      </c>
      <c r="L781">
        <v>1</v>
      </c>
      <c r="M781" s="1" t="s">
        <v>20</v>
      </c>
      <c r="N781" s="1" t="s">
        <v>36</v>
      </c>
      <c r="O781">
        <v>20</v>
      </c>
      <c r="P781">
        <v>8</v>
      </c>
      <c r="Q781" t="str">
        <f t="shared" si="61"/>
        <v>ANTHONY CASE</v>
      </c>
      <c r="R781" t="str">
        <f t="shared" si="62"/>
        <v>australia</v>
      </c>
      <c r="S781" t="str">
        <f>PROPER(global_freelancer_raw[[#This Row],[NAME UPPER]])</f>
        <v>Anthony Case</v>
      </c>
      <c r="T781" t="str">
        <f t="shared" si="63"/>
        <v>Au</v>
      </c>
      <c r="U781" t="str">
        <f t="shared" si="60"/>
        <v>ony Ca</v>
      </c>
      <c r="V781" t="str">
        <f t="shared" si="64"/>
        <v>80</v>
      </c>
    </row>
    <row r="782" spans="1:22" x14ac:dyDescent="0.3">
      <c r="A782" s="1" t="s">
        <v>1648</v>
      </c>
      <c r="B782" s="1" t="s">
        <v>1649</v>
      </c>
      <c r="C782" s="1" t="s">
        <v>39</v>
      </c>
      <c r="D782">
        <v>42</v>
      </c>
      <c r="E782" s="1" t="s">
        <v>148</v>
      </c>
      <c r="F782" s="1" t="s">
        <v>149</v>
      </c>
      <c r="G782" s="1" t="s">
        <v>27</v>
      </c>
      <c r="H782">
        <v>10</v>
      </c>
      <c r="I782">
        <v>100</v>
      </c>
      <c r="J782">
        <v>3.7</v>
      </c>
      <c r="K782" t="s">
        <v>83</v>
      </c>
      <c r="L782">
        <v>0.94</v>
      </c>
      <c r="M782" s="1" t="s">
        <v>20</v>
      </c>
      <c r="N782" s="1" t="s">
        <v>29</v>
      </c>
      <c r="O782">
        <v>8</v>
      </c>
      <c r="P782">
        <v>2</v>
      </c>
      <c r="Q782" t="str">
        <f t="shared" si="61"/>
        <v>KIMBERLY BROWN</v>
      </c>
      <c r="R782" t="str">
        <f t="shared" si="62"/>
        <v>egypt</v>
      </c>
      <c r="S782" t="str">
        <f>PROPER(global_freelancer_raw[[#This Row],[NAME UPPER]])</f>
        <v>Kimberly Brown</v>
      </c>
      <c r="T782" t="str">
        <f t="shared" si="63"/>
        <v>Eg</v>
      </c>
      <c r="U782" t="str">
        <f t="shared" si="60"/>
        <v>erly B</v>
      </c>
      <c r="V782" t="str">
        <f t="shared" si="64"/>
        <v>81</v>
      </c>
    </row>
    <row r="783" spans="1:22" x14ac:dyDescent="0.3">
      <c r="A783" s="1" t="s">
        <v>1650</v>
      </c>
      <c r="B783" s="1" t="s">
        <v>1651</v>
      </c>
      <c r="C783" s="1" t="s">
        <v>106</v>
      </c>
      <c r="D783">
        <v>59</v>
      </c>
      <c r="E783" s="1" t="s">
        <v>64</v>
      </c>
      <c r="F783" s="1" t="s">
        <v>26</v>
      </c>
      <c r="G783" s="1" t="s">
        <v>87</v>
      </c>
      <c r="H783">
        <v>17</v>
      </c>
      <c r="I783">
        <v>50</v>
      </c>
      <c r="J783">
        <v>1.4</v>
      </c>
      <c r="K783" t="s">
        <v>76</v>
      </c>
      <c r="M783" s="1" t="s">
        <v>20</v>
      </c>
      <c r="N783" s="1" t="s">
        <v>21</v>
      </c>
      <c r="O783">
        <v>20</v>
      </c>
      <c r="P783">
        <v>12</v>
      </c>
      <c r="Q783" t="str">
        <f t="shared" si="61"/>
        <v>JOSHUA HOLLOWAY</v>
      </c>
      <c r="R783" t="str">
        <f t="shared" si="62"/>
        <v>us</v>
      </c>
      <c r="S783" t="str">
        <f>PROPER(global_freelancer_raw[[#This Row],[NAME UPPER]])</f>
        <v>Joshua Holloway</v>
      </c>
      <c r="T783" t="str">
        <f t="shared" si="63"/>
        <v>US</v>
      </c>
      <c r="U783" t="str">
        <f t="shared" si="60"/>
        <v>ua Hol</v>
      </c>
      <c r="V783" t="str">
        <f t="shared" si="64"/>
        <v>82</v>
      </c>
    </row>
    <row r="784" spans="1:22" x14ac:dyDescent="0.3">
      <c r="A784" s="1" t="s">
        <v>1652</v>
      </c>
      <c r="B784" s="1" t="s">
        <v>1653</v>
      </c>
      <c r="C784" s="1" t="s">
        <v>39</v>
      </c>
      <c r="E784" s="1" t="s">
        <v>80</v>
      </c>
      <c r="F784" s="1" t="s">
        <v>81</v>
      </c>
      <c r="G784" s="1" t="s">
        <v>19</v>
      </c>
      <c r="H784">
        <v>9</v>
      </c>
      <c r="I784" t="s">
        <v>238</v>
      </c>
      <c r="J784">
        <v>4.5</v>
      </c>
      <c r="K784" t="s">
        <v>83</v>
      </c>
      <c r="L784">
        <v>83</v>
      </c>
      <c r="M784" s="1" t="s">
        <v>77</v>
      </c>
      <c r="N784" s="1" t="s">
        <v>65</v>
      </c>
      <c r="O784">
        <v>15</v>
      </c>
      <c r="P784">
        <v>1</v>
      </c>
      <c r="Q784" t="str">
        <f t="shared" si="61"/>
        <v>CYNTHIA WALTON</v>
      </c>
      <c r="R784" t="str">
        <f t="shared" si="62"/>
        <v>argentina</v>
      </c>
      <c r="S784" t="str">
        <f>PROPER(global_freelancer_raw[[#This Row],[NAME UPPER]])</f>
        <v>Cynthia Walton</v>
      </c>
      <c r="T784" t="str">
        <f t="shared" si="63"/>
        <v>Ar</v>
      </c>
      <c r="U784" t="str">
        <f t="shared" si="60"/>
        <v>hia Wa</v>
      </c>
      <c r="V784" t="str">
        <f t="shared" si="64"/>
        <v>83</v>
      </c>
    </row>
    <row r="785" spans="1:22" x14ac:dyDescent="0.3">
      <c r="A785" s="1" t="s">
        <v>1654</v>
      </c>
      <c r="B785" s="1" t="s">
        <v>1655</v>
      </c>
      <c r="C785" s="1" t="s">
        <v>101</v>
      </c>
      <c r="D785">
        <v>21</v>
      </c>
      <c r="E785" s="1" t="s">
        <v>184</v>
      </c>
      <c r="F785" s="1" t="s">
        <v>185</v>
      </c>
      <c r="G785" s="1" t="s">
        <v>57</v>
      </c>
      <c r="H785">
        <v>0</v>
      </c>
      <c r="I785" t="s">
        <v>61</v>
      </c>
      <c r="J785">
        <v>3.7</v>
      </c>
      <c r="K785">
        <v>0</v>
      </c>
      <c r="L785">
        <v>0.74</v>
      </c>
      <c r="M785" s="1" t="s">
        <v>20</v>
      </c>
      <c r="N785" s="1" t="s">
        <v>36</v>
      </c>
      <c r="O785">
        <v>1</v>
      </c>
      <c r="P785">
        <v>1</v>
      </c>
      <c r="Q785" t="str">
        <f t="shared" si="61"/>
        <v>SHAWN DELGADO</v>
      </c>
      <c r="R785" t="str">
        <f t="shared" si="62"/>
        <v>china</v>
      </c>
      <c r="S785" t="str">
        <f>PROPER(global_freelancer_raw[[#This Row],[NAME UPPER]])</f>
        <v>Shawn Delgado</v>
      </c>
      <c r="T785" t="str">
        <f t="shared" si="63"/>
        <v>Ch</v>
      </c>
      <c r="U785" t="str">
        <f t="shared" si="60"/>
        <v>n Delg</v>
      </c>
      <c r="V785" t="str">
        <f t="shared" si="64"/>
        <v>84</v>
      </c>
    </row>
    <row r="786" spans="1:22" x14ac:dyDescent="0.3">
      <c r="A786" s="1" t="s">
        <v>1656</v>
      </c>
      <c r="B786" s="1" t="s">
        <v>1657</v>
      </c>
      <c r="C786" s="1" t="s">
        <v>106</v>
      </c>
      <c r="D786">
        <v>53</v>
      </c>
      <c r="E786" s="1" t="s">
        <v>75</v>
      </c>
      <c r="F786" s="1" t="s">
        <v>26</v>
      </c>
      <c r="G786" s="1" t="s">
        <v>98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s="1" t="s">
        <v>72</v>
      </c>
      <c r="N786" s="1" t="s">
        <v>65</v>
      </c>
      <c r="O786">
        <v>1</v>
      </c>
      <c r="P786">
        <v>1</v>
      </c>
      <c r="Q786" t="str">
        <f t="shared" si="61"/>
        <v>JEREMY SMITH</v>
      </c>
      <c r="R786" t="str">
        <f t="shared" si="62"/>
        <v>uk</v>
      </c>
      <c r="S786" t="str">
        <f>PROPER(global_freelancer_raw[[#This Row],[NAME UPPER]])</f>
        <v>Jeremy Smith</v>
      </c>
      <c r="T786" t="str">
        <f t="shared" si="63"/>
        <v>UK</v>
      </c>
      <c r="U786" t="str">
        <f t="shared" si="60"/>
        <v>my Smi</v>
      </c>
      <c r="V786" t="str">
        <f t="shared" si="64"/>
        <v>85</v>
      </c>
    </row>
    <row r="787" spans="1:22" x14ac:dyDescent="0.3">
      <c r="A787" s="1" t="s">
        <v>1658</v>
      </c>
      <c r="B787" s="1" t="s">
        <v>1659</v>
      </c>
      <c r="C787" s="1" t="s">
        <v>101</v>
      </c>
      <c r="D787">
        <v>35</v>
      </c>
      <c r="E787" s="1" t="s">
        <v>80</v>
      </c>
      <c r="F787" s="1" t="s">
        <v>81</v>
      </c>
      <c r="G787" s="1" t="s">
        <v>27</v>
      </c>
      <c r="H787">
        <v>15</v>
      </c>
      <c r="J787">
        <v>3.7</v>
      </c>
      <c r="K787" t="b">
        <v>0</v>
      </c>
      <c r="L787">
        <v>0.66</v>
      </c>
      <c r="M787" s="1" t="s">
        <v>20</v>
      </c>
      <c r="N787" s="1" t="s">
        <v>29</v>
      </c>
      <c r="O787">
        <v>8</v>
      </c>
      <c r="P787">
        <v>7</v>
      </c>
      <c r="Q787" t="str">
        <f t="shared" si="61"/>
        <v>MARC ORTIZ</v>
      </c>
      <c r="R787" t="str">
        <f t="shared" si="62"/>
        <v>argentina</v>
      </c>
      <c r="S787" t="str">
        <f>PROPER(global_freelancer_raw[[#This Row],[NAME UPPER]])</f>
        <v>Marc Ortiz</v>
      </c>
      <c r="T787" t="str">
        <f t="shared" si="63"/>
        <v>Ar</v>
      </c>
      <c r="U787" t="str">
        <f t="shared" si="60"/>
        <v xml:space="preserve"> Ortiz</v>
      </c>
      <c r="V787" t="str">
        <f t="shared" si="64"/>
        <v>86</v>
      </c>
    </row>
    <row r="788" spans="1:22" x14ac:dyDescent="0.3">
      <c r="A788" s="1" t="s">
        <v>1660</v>
      </c>
      <c r="B788" s="1" t="s">
        <v>1661</v>
      </c>
      <c r="C788" s="1" t="s">
        <v>86</v>
      </c>
      <c r="D788">
        <v>25</v>
      </c>
      <c r="E788" s="1" t="s">
        <v>116</v>
      </c>
      <c r="F788" s="1" t="s">
        <v>117</v>
      </c>
      <c r="G788" s="1" t="s">
        <v>123</v>
      </c>
      <c r="H788">
        <v>3</v>
      </c>
      <c r="I788" t="s">
        <v>71</v>
      </c>
      <c r="J788">
        <v>3.2</v>
      </c>
      <c r="K788" t="b">
        <v>1</v>
      </c>
      <c r="L788">
        <v>0.74</v>
      </c>
      <c r="M788" s="1" t="s">
        <v>51</v>
      </c>
      <c r="N788" s="1" t="s">
        <v>65</v>
      </c>
      <c r="O788">
        <v>2</v>
      </c>
      <c r="P788">
        <v>2</v>
      </c>
      <c r="Q788" t="str">
        <f t="shared" si="61"/>
        <v>MICHELLE GREGORY</v>
      </c>
      <c r="R788" t="str">
        <f t="shared" si="62"/>
        <v>brazil</v>
      </c>
      <c r="S788" t="str">
        <f>PROPER(global_freelancer_raw[[#This Row],[NAME UPPER]])</f>
        <v>Michelle Gregory</v>
      </c>
      <c r="T788" t="str">
        <f t="shared" si="63"/>
        <v>Br</v>
      </c>
      <c r="U788" t="str">
        <f t="shared" si="60"/>
        <v>elle G</v>
      </c>
      <c r="V788" t="str">
        <f t="shared" si="64"/>
        <v>87</v>
      </c>
    </row>
    <row r="789" spans="1:22" x14ac:dyDescent="0.3">
      <c r="A789" s="1" t="s">
        <v>1662</v>
      </c>
      <c r="B789" s="1" t="s">
        <v>1663</v>
      </c>
      <c r="C789" s="1" t="s">
        <v>44</v>
      </c>
      <c r="D789">
        <v>23</v>
      </c>
      <c r="E789" s="1" t="s">
        <v>17</v>
      </c>
      <c r="F789" s="1" t="s">
        <v>18</v>
      </c>
      <c r="G789" s="1" t="s">
        <v>82</v>
      </c>
      <c r="H789">
        <v>1</v>
      </c>
      <c r="I789">
        <v>30</v>
      </c>
      <c r="J789">
        <v>5</v>
      </c>
      <c r="K789" t="s">
        <v>35</v>
      </c>
      <c r="L789">
        <v>0.97</v>
      </c>
      <c r="M789" s="1" t="s">
        <v>20</v>
      </c>
      <c r="N789" s="1" t="s">
        <v>65</v>
      </c>
      <c r="O789">
        <v>2</v>
      </c>
      <c r="P789">
        <v>1</v>
      </c>
      <c r="Q789" t="str">
        <f t="shared" si="61"/>
        <v>MELANIE GAY</v>
      </c>
      <c r="R789" t="str">
        <f t="shared" si="62"/>
        <v>italy</v>
      </c>
      <c r="S789" t="str">
        <f>PROPER(global_freelancer_raw[[#This Row],[NAME UPPER]])</f>
        <v>Melanie Gay</v>
      </c>
      <c r="T789" t="str">
        <f t="shared" si="63"/>
        <v>It</v>
      </c>
      <c r="U789" t="str">
        <f t="shared" si="60"/>
        <v>nie Ga</v>
      </c>
      <c r="V789" t="str">
        <f t="shared" si="64"/>
        <v>88</v>
      </c>
    </row>
    <row r="790" spans="1:22" x14ac:dyDescent="0.3">
      <c r="A790" s="1" t="s">
        <v>1664</v>
      </c>
      <c r="B790" s="1" t="s">
        <v>1665</v>
      </c>
      <c r="C790" s="1" t="s">
        <v>39</v>
      </c>
      <c r="D790">
        <v>56</v>
      </c>
      <c r="E790" s="1" t="s">
        <v>148</v>
      </c>
      <c r="F790" s="1" t="s">
        <v>149</v>
      </c>
      <c r="G790" s="1" t="s">
        <v>34</v>
      </c>
      <c r="H790">
        <v>13</v>
      </c>
      <c r="I790">
        <v>30</v>
      </c>
      <c r="J790">
        <v>0</v>
      </c>
      <c r="L790">
        <v>77</v>
      </c>
      <c r="M790" s="1" t="s">
        <v>77</v>
      </c>
      <c r="N790" s="1" t="s">
        <v>36</v>
      </c>
      <c r="O790">
        <v>6</v>
      </c>
      <c r="P790">
        <v>7</v>
      </c>
      <c r="Q790" t="str">
        <f t="shared" si="61"/>
        <v>BRITTANY LAMBERT</v>
      </c>
      <c r="R790" t="str">
        <f t="shared" si="62"/>
        <v>egypt</v>
      </c>
      <c r="S790" t="str">
        <f>PROPER(global_freelancer_raw[[#This Row],[NAME UPPER]])</f>
        <v>Brittany Lambert</v>
      </c>
      <c r="T790" t="str">
        <f t="shared" si="63"/>
        <v>Eg</v>
      </c>
      <c r="U790" t="str">
        <f t="shared" si="60"/>
        <v>tany L</v>
      </c>
      <c r="V790" t="str">
        <f t="shared" si="64"/>
        <v>89</v>
      </c>
    </row>
    <row r="791" spans="1:22" x14ac:dyDescent="0.3">
      <c r="A791" s="1" t="s">
        <v>1666</v>
      </c>
      <c r="B791" s="1" t="s">
        <v>1667</v>
      </c>
      <c r="C791" s="1" t="s">
        <v>44</v>
      </c>
      <c r="D791">
        <v>31</v>
      </c>
      <c r="E791" s="1" t="s">
        <v>188</v>
      </c>
      <c r="F791" s="1" t="s">
        <v>81</v>
      </c>
      <c r="G791" s="1" t="s">
        <v>82</v>
      </c>
      <c r="H791">
        <v>6</v>
      </c>
      <c r="J791">
        <v>3.5</v>
      </c>
      <c r="K791" t="s">
        <v>168</v>
      </c>
      <c r="L791">
        <v>0.86</v>
      </c>
      <c r="M791" s="1" t="s">
        <v>51</v>
      </c>
      <c r="N791" s="1" t="s">
        <v>29</v>
      </c>
      <c r="O791">
        <v>12</v>
      </c>
      <c r="P791">
        <v>2</v>
      </c>
      <c r="Q791" t="str">
        <f t="shared" si="61"/>
        <v>MARY HERNANDEZ</v>
      </c>
      <c r="R791" t="str">
        <f t="shared" si="62"/>
        <v>mexico</v>
      </c>
      <c r="S791" t="str">
        <f>PROPER(global_freelancer_raw[[#This Row],[NAME UPPER]])</f>
        <v>Mary Hernandez</v>
      </c>
      <c r="T791" t="str">
        <f t="shared" si="63"/>
        <v>Me</v>
      </c>
      <c r="U791" t="str">
        <f t="shared" si="60"/>
        <v xml:space="preserve"> Herna</v>
      </c>
      <c r="V791" t="str">
        <f t="shared" si="64"/>
        <v>90</v>
      </c>
    </row>
    <row r="792" spans="1:22" x14ac:dyDescent="0.3">
      <c r="A792" s="1" t="s">
        <v>1668</v>
      </c>
      <c r="B792" s="1" t="s">
        <v>1669</v>
      </c>
      <c r="C792" s="1" t="s">
        <v>101</v>
      </c>
      <c r="D792">
        <v>24</v>
      </c>
      <c r="E792" s="1" t="s">
        <v>64</v>
      </c>
      <c r="F792" s="1" t="s">
        <v>26</v>
      </c>
      <c r="G792" s="1" t="s">
        <v>87</v>
      </c>
      <c r="H792">
        <v>4</v>
      </c>
      <c r="I792">
        <v>50</v>
      </c>
      <c r="J792">
        <v>3.1</v>
      </c>
      <c r="K792" t="b">
        <v>0</v>
      </c>
      <c r="L792">
        <v>0.95</v>
      </c>
      <c r="M792" s="1" t="s">
        <v>77</v>
      </c>
      <c r="N792" s="1" t="s">
        <v>21</v>
      </c>
      <c r="O792">
        <v>5</v>
      </c>
      <c r="P792">
        <v>2</v>
      </c>
      <c r="Q792" t="str">
        <f t="shared" si="61"/>
        <v>JONATHAN JONES</v>
      </c>
      <c r="R792" t="str">
        <f t="shared" si="62"/>
        <v>us</v>
      </c>
      <c r="S792" t="str">
        <f>PROPER(global_freelancer_raw[[#This Row],[NAME UPPER]])</f>
        <v>Jonathan Jones</v>
      </c>
      <c r="T792" t="str">
        <f t="shared" si="63"/>
        <v>US</v>
      </c>
      <c r="U792" t="str">
        <f t="shared" si="60"/>
        <v>than J</v>
      </c>
      <c r="V792" t="str">
        <f t="shared" si="64"/>
        <v>91</v>
      </c>
    </row>
    <row r="793" spans="1:22" x14ac:dyDescent="0.3">
      <c r="A793" s="1" t="s">
        <v>1670</v>
      </c>
      <c r="B793" s="1" t="s">
        <v>1671</v>
      </c>
      <c r="C793" s="1" t="s">
        <v>24</v>
      </c>
      <c r="D793">
        <v>35</v>
      </c>
      <c r="E793" s="1" t="s">
        <v>116</v>
      </c>
      <c r="F793" s="1" t="s">
        <v>117</v>
      </c>
      <c r="G793" s="1" t="s">
        <v>87</v>
      </c>
      <c r="H793">
        <v>7</v>
      </c>
      <c r="J793">
        <v>3.9</v>
      </c>
      <c r="K793">
        <v>0</v>
      </c>
      <c r="L793">
        <v>0.72</v>
      </c>
      <c r="M793" s="1" t="s">
        <v>77</v>
      </c>
      <c r="N793" s="1" t="s">
        <v>21</v>
      </c>
      <c r="O793">
        <v>6</v>
      </c>
      <c r="P793">
        <v>9</v>
      </c>
      <c r="Q793" t="str">
        <f t="shared" si="61"/>
        <v>GINA WILLIAMS</v>
      </c>
      <c r="R793" t="str">
        <f t="shared" si="62"/>
        <v>brazil</v>
      </c>
      <c r="S793" t="str">
        <f>PROPER(global_freelancer_raw[[#This Row],[NAME UPPER]])</f>
        <v>Gina Williams</v>
      </c>
      <c r="T793" t="str">
        <f t="shared" si="63"/>
        <v>Br</v>
      </c>
      <c r="U793" t="str">
        <f t="shared" si="60"/>
        <v xml:space="preserve"> Willi</v>
      </c>
      <c r="V793" t="str">
        <f t="shared" si="64"/>
        <v>92</v>
      </c>
    </row>
    <row r="794" spans="1:22" x14ac:dyDescent="0.3">
      <c r="A794" s="1" t="s">
        <v>1672</v>
      </c>
      <c r="B794" s="1" t="s">
        <v>1673</v>
      </c>
      <c r="C794" s="1" t="s">
        <v>24</v>
      </c>
      <c r="D794">
        <v>20</v>
      </c>
      <c r="E794" s="1" t="s">
        <v>199</v>
      </c>
      <c r="F794" s="1" t="s">
        <v>81</v>
      </c>
      <c r="G794" s="1" t="s">
        <v>49</v>
      </c>
      <c r="H794">
        <v>1</v>
      </c>
      <c r="J794">
        <v>3.5</v>
      </c>
      <c r="K794">
        <v>0</v>
      </c>
      <c r="L794">
        <v>0.71</v>
      </c>
      <c r="M794" s="1" t="s">
        <v>51</v>
      </c>
      <c r="N794" s="1" t="s">
        <v>36</v>
      </c>
      <c r="O794">
        <v>3</v>
      </c>
      <c r="P794">
        <v>1</v>
      </c>
      <c r="Q794" t="str">
        <f t="shared" si="61"/>
        <v>KELLY LAWSON</v>
      </c>
      <c r="R794" t="str">
        <f t="shared" si="62"/>
        <v>spain</v>
      </c>
      <c r="S794" t="str">
        <f>PROPER(global_freelancer_raw[[#This Row],[NAME UPPER]])</f>
        <v>Kelly Lawson</v>
      </c>
      <c r="T794" t="str">
        <f t="shared" si="63"/>
        <v>Sp</v>
      </c>
      <c r="U794" t="str">
        <f t="shared" si="60"/>
        <v>y Laws</v>
      </c>
      <c r="V794" t="str">
        <f t="shared" si="64"/>
        <v>93</v>
      </c>
    </row>
    <row r="795" spans="1:22" x14ac:dyDescent="0.3">
      <c r="A795" s="1" t="s">
        <v>1674</v>
      </c>
      <c r="B795" s="1" t="s">
        <v>1675</v>
      </c>
      <c r="C795" s="1" t="s">
        <v>106</v>
      </c>
      <c r="D795">
        <v>26</v>
      </c>
      <c r="E795" s="1" t="s">
        <v>25</v>
      </c>
      <c r="F795" s="1" t="s">
        <v>26</v>
      </c>
      <c r="G795" s="1" t="s">
        <v>57</v>
      </c>
      <c r="H795">
        <v>5</v>
      </c>
      <c r="I795" t="s">
        <v>238</v>
      </c>
      <c r="J795">
        <v>2.5</v>
      </c>
      <c r="K795" t="b">
        <v>1</v>
      </c>
      <c r="L795">
        <v>0.93</v>
      </c>
      <c r="M795" s="1" t="s">
        <v>77</v>
      </c>
      <c r="N795" s="1" t="s">
        <v>65</v>
      </c>
      <c r="O795">
        <v>1</v>
      </c>
      <c r="P795">
        <v>1</v>
      </c>
      <c r="Q795" t="str">
        <f t="shared" si="61"/>
        <v>KEITH SMITH</v>
      </c>
      <c r="R795" t="str">
        <f t="shared" si="62"/>
        <v>australia</v>
      </c>
      <c r="S795" t="str">
        <f>PROPER(global_freelancer_raw[[#This Row],[NAME UPPER]])</f>
        <v>Keith Smith</v>
      </c>
      <c r="T795" t="str">
        <f t="shared" si="63"/>
        <v>Au</v>
      </c>
      <c r="U795" t="str">
        <f t="shared" si="60"/>
        <v>h Smit</v>
      </c>
      <c r="V795" t="str">
        <f t="shared" si="64"/>
        <v>94</v>
      </c>
    </row>
    <row r="796" spans="1:22" x14ac:dyDescent="0.3">
      <c r="A796" s="1" t="s">
        <v>1676</v>
      </c>
      <c r="B796" s="1" t="s">
        <v>1677</v>
      </c>
      <c r="C796" s="1" t="s">
        <v>101</v>
      </c>
      <c r="D796">
        <v>54</v>
      </c>
      <c r="E796" s="1" t="s">
        <v>75</v>
      </c>
      <c r="F796" s="1" t="s">
        <v>26</v>
      </c>
      <c r="G796" s="1" t="s">
        <v>98</v>
      </c>
      <c r="H796">
        <v>29</v>
      </c>
      <c r="I796" t="s">
        <v>61</v>
      </c>
      <c r="J796">
        <v>3.1</v>
      </c>
      <c r="K796">
        <v>1</v>
      </c>
      <c r="M796" s="1" t="s">
        <v>77</v>
      </c>
      <c r="N796" s="1" t="s">
        <v>36</v>
      </c>
      <c r="O796">
        <v>14</v>
      </c>
      <c r="P796">
        <v>12</v>
      </c>
      <c r="Q796" t="str">
        <f t="shared" si="61"/>
        <v>CHRISTOPHER HUNTER</v>
      </c>
      <c r="R796" t="str">
        <f t="shared" si="62"/>
        <v>uk</v>
      </c>
      <c r="S796" t="str">
        <f>PROPER(global_freelancer_raw[[#This Row],[NAME UPPER]])</f>
        <v>Christopher Hunter</v>
      </c>
      <c r="T796" t="str">
        <f t="shared" si="63"/>
        <v>UK</v>
      </c>
      <c r="U796" t="str">
        <f t="shared" si="60"/>
        <v>stophe</v>
      </c>
      <c r="V796" t="str">
        <f t="shared" si="64"/>
        <v>95</v>
      </c>
    </row>
    <row r="797" spans="1:22" x14ac:dyDescent="0.3">
      <c r="A797" s="1" t="s">
        <v>1678</v>
      </c>
      <c r="B797" s="1" t="s">
        <v>1679</v>
      </c>
      <c r="C797" s="1" t="s">
        <v>54</v>
      </c>
      <c r="D797">
        <v>53</v>
      </c>
      <c r="E797" s="1" t="s">
        <v>133</v>
      </c>
      <c r="F797" s="1" t="s">
        <v>134</v>
      </c>
      <c r="G797" s="1" t="s">
        <v>87</v>
      </c>
      <c r="H797">
        <v>12</v>
      </c>
      <c r="I797">
        <v>100</v>
      </c>
      <c r="J797">
        <v>4.7</v>
      </c>
      <c r="K797">
        <v>1</v>
      </c>
      <c r="L797">
        <v>0.87</v>
      </c>
      <c r="M797" s="1" t="s">
        <v>20</v>
      </c>
      <c r="N797" s="1" t="s">
        <v>36</v>
      </c>
      <c r="O797">
        <v>10</v>
      </c>
      <c r="P797">
        <v>11</v>
      </c>
      <c r="Q797" t="str">
        <f t="shared" si="61"/>
        <v>DWAYNE PARKS</v>
      </c>
      <c r="R797" t="str">
        <f t="shared" si="62"/>
        <v>russia</v>
      </c>
      <c r="S797" t="str">
        <f>PROPER(global_freelancer_raw[[#This Row],[NAME UPPER]])</f>
        <v>Dwayne Parks</v>
      </c>
      <c r="T797" t="str">
        <f t="shared" si="63"/>
        <v>Ru</v>
      </c>
      <c r="U797" t="str">
        <f t="shared" si="60"/>
        <v>ne Par</v>
      </c>
      <c r="V797" t="str">
        <f t="shared" si="64"/>
        <v>96</v>
      </c>
    </row>
    <row r="798" spans="1:22" x14ac:dyDescent="0.3">
      <c r="A798" s="1" t="s">
        <v>1680</v>
      </c>
      <c r="B798" s="1" t="s">
        <v>1681</v>
      </c>
      <c r="C798" s="1" t="s">
        <v>86</v>
      </c>
      <c r="D798">
        <v>33</v>
      </c>
      <c r="E798" s="1" t="s">
        <v>137</v>
      </c>
      <c r="F798" s="1" t="s">
        <v>26</v>
      </c>
      <c r="G798" s="1" t="s">
        <v>98</v>
      </c>
      <c r="H798">
        <v>4</v>
      </c>
      <c r="J798">
        <v>1.9</v>
      </c>
      <c r="K798" t="b">
        <v>0</v>
      </c>
      <c r="L798">
        <v>73</v>
      </c>
      <c r="M798" s="1" t="s">
        <v>72</v>
      </c>
      <c r="N798" s="1" t="s">
        <v>36</v>
      </c>
      <c r="O798">
        <v>2</v>
      </c>
      <c r="P798">
        <v>1</v>
      </c>
      <c r="Q798" t="str">
        <f t="shared" si="61"/>
        <v>MARY HALL</v>
      </c>
      <c r="R798" t="str">
        <f t="shared" si="62"/>
        <v>canada</v>
      </c>
      <c r="S798" t="str">
        <f>PROPER(global_freelancer_raw[[#This Row],[NAME UPPER]])</f>
        <v>Mary Hall</v>
      </c>
      <c r="T798" t="str">
        <f t="shared" si="63"/>
        <v>Ca</v>
      </c>
      <c r="U798" t="str">
        <f t="shared" si="60"/>
        <v xml:space="preserve"> Hall</v>
      </c>
      <c r="V798" t="str">
        <f t="shared" si="64"/>
        <v>97</v>
      </c>
    </row>
    <row r="799" spans="1:22" x14ac:dyDescent="0.3">
      <c r="A799" s="1" t="s">
        <v>1682</v>
      </c>
      <c r="B799" s="1" t="s">
        <v>1683</v>
      </c>
      <c r="C799" s="1" t="s">
        <v>54</v>
      </c>
      <c r="D799">
        <v>43</v>
      </c>
      <c r="E799" s="1" t="s">
        <v>47</v>
      </c>
      <c r="F799" s="1" t="s">
        <v>48</v>
      </c>
      <c r="G799" s="1" t="s">
        <v>40</v>
      </c>
      <c r="H799">
        <v>12</v>
      </c>
      <c r="J799">
        <v>1.6</v>
      </c>
      <c r="K799">
        <v>1</v>
      </c>
      <c r="L799">
        <v>0.74</v>
      </c>
      <c r="M799" s="1" t="s">
        <v>77</v>
      </c>
      <c r="N799" s="1" t="s">
        <v>65</v>
      </c>
      <c r="O799">
        <v>6</v>
      </c>
      <c r="P799">
        <v>2</v>
      </c>
      <c r="Q799" t="str">
        <f t="shared" si="61"/>
        <v>JAKE GILMORE</v>
      </c>
      <c r="R799" t="str">
        <f t="shared" si="62"/>
        <v>netherlands</v>
      </c>
      <c r="S799" t="str">
        <f>PROPER(global_freelancer_raw[[#This Row],[NAME UPPER]])</f>
        <v>Jake Gilmore</v>
      </c>
      <c r="T799" t="str">
        <f t="shared" si="63"/>
        <v>Ne</v>
      </c>
      <c r="U799" t="str">
        <f t="shared" si="60"/>
        <v xml:space="preserve"> Gilmo</v>
      </c>
      <c r="V799" t="str">
        <f t="shared" si="64"/>
        <v>98</v>
      </c>
    </row>
    <row r="800" spans="1:22" x14ac:dyDescent="0.3">
      <c r="A800" s="1" t="s">
        <v>1684</v>
      </c>
      <c r="B800" s="1" t="s">
        <v>1685</v>
      </c>
      <c r="C800" s="1" t="s">
        <v>101</v>
      </c>
      <c r="D800">
        <v>37</v>
      </c>
      <c r="E800" s="1" t="s">
        <v>137</v>
      </c>
      <c r="F800" s="1" t="s">
        <v>26</v>
      </c>
      <c r="G800" s="1" t="s">
        <v>98</v>
      </c>
      <c r="H800">
        <v>3</v>
      </c>
      <c r="I800">
        <v>20</v>
      </c>
      <c r="J800">
        <v>2.5</v>
      </c>
      <c r="K800" t="s">
        <v>35</v>
      </c>
      <c r="L800">
        <v>0.62</v>
      </c>
      <c r="M800" s="1" t="s">
        <v>77</v>
      </c>
      <c r="N800" s="1" t="s">
        <v>29</v>
      </c>
      <c r="O800">
        <v>3</v>
      </c>
      <c r="P800">
        <v>1</v>
      </c>
      <c r="Q800" t="str">
        <f t="shared" si="61"/>
        <v>MARK LOPEZ</v>
      </c>
      <c r="R800" t="str">
        <f t="shared" si="62"/>
        <v>canada</v>
      </c>
      <c r="S800" t="str">
        <f>PROPER(global_freelancer_raw[[#This Row],[NAME UPPER]])</f>
        <v>Mark Lopez</v>
      </c>
      <c r="T800" t="str">
        <f t="shared" si="63"/>
        <v>Ca</v>
      </c>
      <c r="U800" t="str">
        <f t="shared" si="60"/>
        <v xml:space="preserve"> Lopez</v>
      </c>
      <c r="V800" t="str">
        <f t="shared" si="64"/>
        <v>99</v>
      </c>
    </row>
    <row r="801" spans="1:22" x14ac:dyDescent="0.3">
      <c r="A801" s="1" t="s">
        <v>1686</v>
      </c>
      <c r="B801" s="1" t="s">
        <v>1687</v>
      </c>
      <c r="C801" s="1" t="s">
        <v>44</v>
      </c>
      <c r="D801">
        <v>58</v>
      </c>
      <c r="E801" s="1" t="s">
        <v>144</v>
      </c>
      <c r="F801" s="1" t="s">
        <v>145</v>
      </c>
      <c r="G801" s="1" t="s">
        <v>57</v>
      </c>
      <c r="H801">
        <v>15</v>
      </c>
      <c r="I801">
        <v>20</v>
      </c>
      <c r="J801">
        <v>3.5</v>
      </c>
      <c r="L801">
        <v>0.98</v>
      </c>
      <c r="M801" s="1" t="s">
        <v>77</v>
      </c>
      <c r="N801" s="1" t="s">
        <v>36</v>
      </c>
      <c r="O801">
        <v>9</v>
      </c>
      <c r="P801">
        <v>12</v>
      </c>
      <c r="Q801" t="str">
        <f t="shared" si="61"/>
        <v>DANA RICE</v>
      </c>
      <c r="R801" t="str">
        <f t="shared" si="62"/>
        <v>france</v>
      </c>
      <c r="S801" t="str">
        <f>PROPER(global_freelancer_raw[[#This Row],[NAME UPPER]])</f>
        <v>Dana Rice</v>
      </c>
      <c r="T801" t="str">
        <f t="shared" si="63"/>
        <v>Fr</v>
      </c>
      <c r="U801" t="str">
        <f t="shared" si="60"/>
        <v xml:space="preserve"> Rice</v>
      </c>
      <c r="V801" t="str">
        <f t="shared" si="64"/>
        <v>00</v>
      </c>
    </row>
    <row r="802" spans="1:22" x14ac:dyDescent="0.3">
      <c r="A802" s="1" t="s">
        <v>1688</v>
      </c>
      <c r="B802" s="1" t="s">
        <v>1689</v>
      </c>
      <c r="C802" s="1" t="s">
        <v>24</v>
      </c>
      <c r="D802">
        <v>39</v>
      </c>
      <c r="E802" s="1" t="s">
        <v>199</v>
      </c>
      <c r="F802" s="1" t="s">
        <v>81</v>
      </c>
      <c r="G802" s="1" t="s">
        <v>27</v>
      </c>
      <c r="H802">
        <v>15</v>
      </c>
      <c r="I802">
        <v>50</v>
      </c>
      <c r="K802">
        <v>0</v>
      </c>
      <c r="L802">
        <v>0.8</v>
      </c>
      <c r="M802" s="1" t="s">
        <v>20</v>
      </c>
      <c r="N802" s="1" t="s">
        <v>65</v>
      </c>
      <c r="O802">
        <v>15</v>
      </c>
      <c r="P802">
        <v>2</v>
      </c>
      <c r="Q802" t="str">
        <f t="shared" si="61"/>
        <v>BETH YOUNG</v>
      </c>
      <c r="R802" t="str">
        <f t="shared" si="62"/>
        <v>spain</v>
      </c>
      <c r="S802" t="str">
        <f>PROPER(global_freelancer_raw[[#This Row],[NAME UPPER]])</f>
        <v>Beth Young</v>
      </c>
      <c r="T802" t="str">
        <f t="shared" si="63"/>
        <v>Sp</v>
      </c>
      <c r="U802" t="str">
        <f t="shared" si="60"/>
        <v xml:space="preserve"> Young</v>
      </c>
      <c r="V802" t="str">
        <f t="shared" si="64"/>
        <v>01</v>
      </c>
    </row>
    <row r="803" spans="1:22" x14ac:dyDescent="0.3">
      <c r="A803" s="1" t="s">
        <v>1690</v>
      </c>
      <c r="B803" s="1" t="s">
        <v>1691</v>
      </c>
      <c r="C803" s="1" t="s">
        <v>32</v>
      </c>
      <c r="D803">
        <v>43</v>
      </c>
      <c r="E803" s="1" t="s">
        <v>69</v>
      </c>
      <c r="F803" s="1" t="s">
        <v>70</v>
      </c>
      <c r="G803" s="1" t="s">
        <v>34</v>
      </c>
      <c r="H803">
        <v>13</v>
      </c>
      <c r="I803" t="s">
        <v>323</v>
      </c>
      <c r="J803">
        <v>1.2</v>
      </c>
      <c r="K803" t="s">
        <v>83</v>
      </c>
      <c r="L803">
        <v>69</v>
      </c>
      <c r="M803" s="1" t="s">
        <v>72</v>
      </c>
      <c r="N803" s="1" t="s">
        <v>29</v>
      </c>
      <c r="O803">
        <v>14</v>
      </c>
      <c r="P803">
        <v>1</v>
      </c>
      <c r="Q803" t="str">
        <f t="shared" si="61"/>
        <v>RYAN POWELL</v>
      </c>
      <c r="R803" t="str">
        <f t="shared" si="62"/>
        <v>turkey</v>
      </c>
      <c r="S803" t="str">
        <f>PROPER(global_freelancer_raw[[#This Row],[NAME UPPER]])</f>
        <v>Ryan Powell</v>
      </c>
      <c r="T803" t="str">
        <f t="shared" si="63"/>
        <v>Tu</v>
      </c>
      <c r="U803" t="str">
        <f t="shared" si="60"/>
        <v xml:space="preserve"> Powel</v>
      </c>
      <c r="V803" t="str">
        <f t="shared" si="64"/>
        <v>02</v>
      </c>
    </row>
    <row r="804" spans="1:22" x14ac:dyDescent="0.3">
      <c r="A804" s="1" t="s">
        <v>1692</v>
      </c>
      <c r="B804" s="1" t="s">
        <v>1693</v>
      </c>
      <c r="C804" s="1" t="s">
        <v>86</v>
      </c>
      <c r="D804">
        <v>40</v>
      </c>
      <c r="E804" s="1" t="s">
        <v>199</v>
      </c>
      <c r="F804" s="1" t="s">
        <v>81</v>
      </c>
      <c r="G804" s="1" t="s">
        <v>19</v>
      </c>
      <c r="H804">
        <v>20</v>
      </c>
      <c r="I804" t="s">
        <v>118</v>
      </c>
      <c r="K804" t="b">
        <v>0</v>
      </c>
      <c r="L804">
        <v>90</v>
      </c>
      <c r="M804" s="1" t="s">
        <v>51</v>
      </c>
      <c r="N804" s="1" t="s">
        <v>36</v>
      </c>
      <c r="O804">
        <v>11</v>
      </c>
      <c r="P804">
        <v>3</v>
      </c>
      <c r="Q804" t="str">
        <f t="shared" si="61"/>
        <v>AMANDA FOWLER</v>
      </c>
      <c r="R804" t="str">
        <f t="shared" si="62"/>
        <v>spain</v>
      </c>
      <c r="S804" t="str">
        <f>PROPER(global_freelancer_raw[[#This Row],[NAME UPPER]])</f>
        <v>Amanda Fowler</v>
      </c>
      <c r="T804" t="str">
        <f t="shared" si="63"/>
        <v>Sp</v>
      </c>
      <c r="U804" t="str">
        <f t="shared" si="60"/>
        <v>da Fow</v>
      </c>
      <c r="V804" t="str">
        <f t="shared" si="64"/>
        <v>03</v>
      </c>
    </row>
    <row r="805" spans="1:22" x14ac:dyDescent="0.3">
      <c r="A805" s="1" t="s">
        <v>1694</v>
      </c>
      <c r="B805" s="1" t="s">
        <v>1695</v>
      </c>
      <c r="C805" s="1" t="s">
        <v>16</v>
      </c>
      <c r="D805">
        <v>51</v>
      </c>
      <c r="E805" s="1" t="s">
        <v>75</v>
      </c>
      <c r="F805" s="1" t="s">
        <v>26</v>
      </c>
      <c r="G805" s="1" t="s">
        <v>123</v>
      </c>
      <c r="H805">
        <v>30</v>
      </c>
      <c r="I805">
        <v>75</v>
      </c>
      <c r="K805" t="b">
        <v>1</v>
      </c>
      <c r="L805">
        <v>0.74</v>
      </c>
      <c r="M805" s="1" t="s">
        <v>20</v>
      </c>
      <c r="N805" s="1" t="s">
        <v>21</v>
      </c>
      <c r="O805">
        <v>20</v>
      </c>
      <c r="P805">
        <v>11</v>
      </c>
      <c r="Q805" t="str">
        <f t="shared" si="61"/>
        <v>LINDSAY RIVERA</v>
      </c>
      <c r="R805" t="str">
        <f t="shared" si="62"/>
        <v>uk</v>
      </c>
      <c r="S805" t="str">
        <f>PROPER(global_freelancer_raw[[#This Row],[NAME UPPER]])</f>
        <v>Lindsay Rivera</v>
      </c>
      <c r="T805" t="str">
        <f t="shared" si="63"/>
        <v>UK</v>
      </c>
      <c r="U805" t="str">
        <f t="shared" si="60"/>
        <v>say Ri</v>
      </c>
      <c r="V805" t="str">
        <f t="shared" si="64"/>
        <v>04</v>
      </c>
    </row>
    <row r="806" spans="1:22" x14ac:dyDescent="0.3">
      <c r="A806" s="1" t="s">
        <v>1696</v>
      </c>
      <c r="B806" s="1" t="s">
        <v>1697</v>
      </c>
      <c r="C806" s="1" t="s">
        <v>32</v>
      </c>
      <c r="D806">
        <v>23</v>
      </c>
      <c r="E806" s="1" t="s">
        <v>33</v>
      </c>
      <c r="F806" s="1" t="s">
        <v>33</v>
      </c>
      <c r="G806" s="1" t="s">
        <v>49</v>
      </c>
      <c r="H806">
        <v>4</v>
      </c>
      <c r="I806">
        <v>50</v>
      </c>
      <c r="J806">
        <v>4.5</v>
      </c>
      <c r="K806" t="s">
        <v>35</v>
      </c>
      <c r="L806">
        <v>0.98</v>
      </c>
      <c r="M806" s="1" t="s">
        <v>20</v>
      </c>
      <c r="N806" s="1" t="s">
        <v>29</v>
      </c>
      <c r="O806">
        <v>1</v>
      </c>
      <c r="P806">
        <v>3</v>
      </c>
      <c r="Q806" t="str">
        <f t="shared" si="61"/>
        <v>MARK WARD</v>
      </c>
      <c r="R806" t="str">
        <f t="shared" si="62"/>
        <v>germany</v>
      </c>
      <c r="S806" t="str">
        <f>PROPER(global_freelancer_raw[[#This Row],[NAME UPPER]])</f>
        <v>Mark Ward</v>
      </c>
      <c r="T806" t="str">
        <f t="shared" si="63"/>
        <v>Ge</v>
      </c>
      <c r="U806" t="str">
        <f t="shared" si="60"/>
        <v xml:space="preserve"> Ward</v>
      </c>
      <c r="V806" t="str">
        <f t="shared" si="64"/>
        <v>05</v>
      </c>
    </row>
    <row r="807" spans="1:22" x14ac:dyDescent="0.3">
      <c r="A807" s="1" t="s">
        <v>1698</v>
      </c>
      <c r="B807" s="1" t="s">
        <v>1699</v>
      </c>
      <c r="C807" s="1" t="s">
        <v>16</v>
      </c>
      <c r="D807">
        <v>31</v>
      </c>
      <c r="E807" s="1" t="s">
        <v>55</v>
      </c>
      <c r="F807" s="1" t="s">
        <v>56</v>
      </c>
      <c r="G807" s="1" t="s">
        <v>34</v>
      </c>
      <c r="I807" t="s">
        <v>323</v>
      </c>
      <c r="K807" t="s">
        <v>83</v>
      </c>
      <c r="L807">
        <v>0.84</v>
      </c>
      <c r="M807" s="1" t="s">
        <v>72</v>
      </c>
      <c r="N807" s="1" t="s">
        <v>36</v>
      </c>
      <c r="O807">
        <v>5</v>
      </c>
      <c r="P807">
        <v>1</v>
      </c>
      <c r="Q807" t="str">
        <f t="shared" si="61"/>
        <v>AMANDA SMITH</v>
      </c>
      <c r="R807" t="str">
        <f t="shared" si="62"/>
        <v>indonesia</v>
      </c>
      <c r="S807" t="str">
        <f>PROPER(global_freelancer_raw[[#This Row],[NAME UPPER]])</f>
        <v>Amanda Smith</v>
      </c>
      <c r="T807" t="str">
        <f t="shared" si="63"/>
        <v>In</v>
      </c>
      <c r="U807" t="str">
        <f t="shared" si="60"/>
        <v>da Smi</v>
      </c>
      <c r="V807" t="str">
        <f t="shared" si="64"/>
        <v>06</v>
      </c>
    </row>
    <row r="808" spans="1:22" x14ac:dyDescent="0.3">
      <c r="A808" s="1" t="s">
        <v>1700</v>
      </c>
      <c r="B808" s="1" t="s">
        <v>1701</v>
      </c>
      <c r="C808" s="1" t="s">
        <v>24</v>
      </c>
      <c r="D808">
        <v>44</v>
      </c>
      <c r="E808" s="1" t="s">
        <v>133</v>
      </c>
      <c r="F808" s="1" t="s">
        <v>134</v>
      </c>
      <c r="G808" s="1" t="s">
        <v>40</v>
      </c>
      <c r="H808">
        <v>3</v>
      </c>
      <c r="I808" t="s">
        <v>130</v>
      </c>
      <c r="J808">
        <v>5</v>
      </c>
      <c r="K808" t="s">
        <v>76</v>
      </c>
      <c r="L808">
        <v>0.75</v>
      </c>
      <c r="M808" s="1" t="s">
        <v>72</v>
      </c>
      <c r="N808" s="1" t="s">
        <v>29</v>
      </c>
      <c r="O808">
        <v>4</v>
      </c>
      <c r="P808">
        <v>2</v>
      </c>
      <c r="Q808" t="str">
        <f t="shared" si="61"/>
        <v>EMILY BROWN</v>
      </c>
      <c r="R808" t="str">
        <f t="shared" si="62"/>
        <v>russia</v>
      </c>
      <c r="S808" t="str">
        <f>PROPER(global_freelancer_raw[[#This Row],[NAME UPPER]])</f>
        <v>Emily Brown</v>
      </c>
      <c r="T808" t="str">
        <f t="shared" si="63"/>
        <v>Ru</v>
      </c>
      <c r="U808" t="str">
        <f t="shared" si="60"/>
        <v>y Brow</v>
      </c>
      <c r="V808" t="str">
        <f t="shared" si="64"/>
        <v>07</v>
      </c>
    </row>
    <row r="809" spans="1:22" x14ac:dyDescent="0.3">
      <c r="A809" s="1" t="s">
        <v>1702</v>
      </c>
      <c r="B809" s="1" t="s">
        <v>1703</v>
      </c>
      <c r="C809" s="1" t="s">
        <v>106</v>
      </c>
      <c r="D809">
        <v>56</v>
      </c>
      <c r="E809" s="1" t="s">
        <v>33</v>
      </c>
      <c r="F809" s="1" t="s">
        <v>33</v>
      </c>
      <c r="G809" s="1" t="s">
        <v>27</v>
      </c>
      <c r="H809">
        <v>23</v>
      </c>
      <c r="I809">
        <v>75</v>
      </c>
      <c r="J809">
        <v>3.9</v>
      </c>
      <c r="K809">
        <v>1</v>
      </c>
      <c r="M809" s="1" t="s">
        <v>20</v>
      </c>
      <c r="N809" s="1" t="s">
        <v>29</v>
      </c>
      <c r="O809">
        <v>14</v>
      </c>
      <c r="P809">
        <v>7</v>
      </c>
      <c r="Q809" t="str">
        <f t="shared" si="61"/>
        <v>DWAYNE CARDENAS</v>
      </c>
      <c r="R809" t="str">
        <f t="shared" si="62"/>
        <v>germany</v>
      </c>
      <c r="S809" t="str">
        <f>PROPER(global_freelancer_raw[[#This Row],[NAME UPPER]])</f>
        <v>Dwayne Cardenas</v>
      </c>
      <c r="T809" t="str">
        <f t="shared" si="63"/>
        <v>Ge</v>
      </c>
      <c r="U809" t="str">
        <f t="shared" si="60"/>
        <v>ne Car</v>
      </c>
      <c r="V809" t="str">
        <f t="shared" si="64"/>
        <v>08</v>
      </c>
    </row>
    <row r="810" spans="1:22" x14ac:dyDescent="0.3">
      <c r="A810" s="1" t="s">
        <v>1704</v>
      </c>
      <c r="B810" s="1" t="s">
        <v>1705</v>
      </c>
      <c r="C810" s="1" t="s">
        <v>24</v>
      </c>
      <c r="D810">
        <v>48</v>
      </c>
      <c r="E810" s="1" t="s">
        <v>25</v>
      </c>
      <c r="F810" s="1" t="s">
        <v>26</v>
      </c>
      <c r="G810" s="1" t="s">
        <v>87</v>
      </c>
      <c r="H810">
        <v>5</v>
      </c>
      <c r="I810" t="s">
        <v>238</v>
      </c>
      <c r="J810">
        <v>1.8</v>
      </c>
      <c r="K810" t="b">
        <v>1</v>
      </c>
      <c r="L810">
        <v>0.97</v>
      </c>
      <c r="M810" s="1" t="s">
        <v>51</v>
      </c>
      <c r="N810" s="1" t="s">
        <v>29</v>
      </c>
      <c r="O810">
        <v>3</v>
      </c>
      <c r="P810">
        <v>3</v>
      </c>
      <c r="Q810" t="str">
        <f t="shared" si="61"/>
        <v>DR. RHONDA HERNANDEZ</v>
      </c>
      <c r="R810" t="str">
        <f t="shared" si="62"/>
        <v>australia</v>
      </c>
      <c r="S810" t="str">
        <f>PROPER(global_freelancer_raw[[#This Row],[NAME UPPER]])</f>
        <v>Dr. Rhonda Hernandez</v>
      </c>
      <c r="T810" t="str">
        <f t="shared" si="63"/>
        <v>Au</v>
      </c>
      <c r="U810" t="str">
        <f t="shared" si="60"/>
        <v>Rhonda</v>
      </c>
      <c r="V810" t="str">
        <f t="shared" si="64"/>
        <v>09</v>
      </c>
    </row>
    <row r="811" spans="1:22" x14ac:dyDescent="0.3">
      <c r="A811" s="1" t="s">
        <v>1706</v>
      </c>
      <c r="B811" s="1" t="s">
        <v>1707</v>
      </c>
      <c r="C811" s="1" t="s">
        <v>16</v>
      </c>
      <c r="D811">
        <v>46</v>
      </c>
      <c r="E811" s="1" t="s">
        <v>133</v>
      </c>
      <c r="F811" s="1" t="s">
        <v>134</v>
      </c>
      <c r="G811" s="1" t="s">
        <v>40</v>
      </c>
      <c r="H811">
        <v>28</v>
      </c>
      <c r="I811">
        <v>30</v>
      </c>
      <c r="J811">
        <v>4.2</v>
      </c>
      <c r="K811" t="b">
        <v>1</v>
      </c>
      <c r="M811" s="1" t="s">
        <v>20</v>
      </c>
      <c r="N811" s="1" t="s">
        <v>29</v>
      </c>
      <c r="O811">
        <v>16</v>
      </c>
      <c r="P811">
        <v>9</v>
      </c>
      <c r="Q811" t="str">
        <f t="shared" si="61"/>
        <v>MELODY BARKER</v>
      </c>
      <c r="R811" t="str">
        <f t="shared" si="62"/>
        <v>russia</v>
      </c>
      <c r="S811" t="str">
        <f>PROPER(global_freelancer_raw[[#This Row],[NAME UPPER]])</f>
        <v>Melody Barker</v>
      </c>
      <c r="T811" t="str">
        <f t="shared" si="63"/>
        <v>Ru</v>
      </c>
      <c r="U811" t="str">
        <f t="shared" si="60"/>
        <v>dy Bar</v>
      </c>
      <c r="V811" t="str">
        <f t="shared" si="64"/>
        <v>10</v>
      </c>
    </row>
    <row r="812" spans="1:22" x14ac:dyDescent="0.3">
      <c r="A812" s="1" t="s">
        <v>1708</v>
      </c>
      <c r="B812" s="1" t="s">
        <v>1709</v>
      </c>
      <c r="C812" s="1" t="s">
        <v>101</v>
      </c>
      <c r="D812">
        <v>21</v>
      </c>
      <c r="E812" s="1" t="s">
        <v>148</v>
      </c>
      <c r="F812" s="1" t="s">
        <v>149</v>
      </c>
      <c r="G812" s="1" t="s">
        <v>49</v>
      </c>
      <c r="H812">
        <v>0</v>
      </c>
      <c r="I812">
        <v>20</v>
      </c>
      <c r="J812">
        <v>2.6</v>
      </c>
      <c r="K812" t="s">
        <v>168</v>
      </c>
      <c r="L812">
        <v>0.64</v>
      </c>
      <c r="M812" s="1" t="s">
        <v>72</v>
      </c>
      <c r="N812" s="1" t="s">
        <v>29</v>
      </c>
      <c r="O812">
        <v>3</v>
      </c>
      <c r="P812">
        <v>2</v>
      </c>
      <c r="Q812" t="str">
        <f t="shared" si="61"/>
        <v>RUSSELL CARPENTER</v>
      </c>
      <c r="R812" t="str">
        <f t="shared" si="62"/>
        <v>egypt</v>
      </c>
      <c r="S812" t="str">
        <f>PROPER(global_freelancer_raw[[#This Row],[NAME UPPER]])</f>
        <v>Russell Carpenter</v>
      </c>
      <c r="T812" t="str">
        <f t="shared" si="63"/>
        <v>Eg</v>
      </c>
      <c r="U812" t="str">
        <f t="shared" si="60"/>
        <v>ell Ca</v>
      </c>
      <c r="V812" t="str">
        <f t="shared" si="64"/>
        <v>11</v>
      </c>
    </row>
    <row r="813" spans="1:22" x14ac:dyDescent="0.3">
      <c r="A813" s="1" t="s">
        <v>1710</v>
      </c>
      <c r="B813" s="1" t="s">
        <v>1711</v>
      </c>
      <c r="C813" s="1" t="s">
        <v>54</v>
      </c>
      <c r="D813">
        <v>52</v>
      </c>
      <c r="E813" s="1" t="s">
        <v>133</v>
      </c>
      <c r="F813" s="1" t="s">
        <v>134</v>
      </c>
      <c r="G813" s="1" t="s">
        <v>57</v>
      </c>
      <c r="H813">
        <v>30</v>
      </c>
      <c r="I813">
        <v>30</v>
      </c>
      <c r="J813">
        <v>2</v>
      </c>
      <c r="K813">
        <v>1</v>
      </c>
      <c r="L813">
        <v>0.68</v>
      </c>
      <c r="M813" s="1" t="s">
        <v>51</v>
      </c>
      <c r="N813" s="1" t="s">
        <v>29</v>
      </c>
      <c r="O813">
        <v>10</v>
      </c>
      <c r="P813">
        <v>6</v>
      </c>
      <c r="Q813" t="str">
        <f t="shared" si="61"/>
        <v>RICHARD HILL</v>
      </c>
      <c r="R813" t="str">
        <f t="shared" si="62"/>
        <v>russia</v>
      </c>
      <c r="S813" t="str">
        <f>PROPER(global_freelancer_raw[[#This Row],[NAME UPPER]])</f>
        <v>Richard Hill</v>
      </c>
      <c r="T813" t="str">
        <f t="shared" si="63"/>
        <v>Ru</v>
      </c>
      <c r="U813" t="str">
        <f t="shared" si="60"/>
        <v>ard Hi</v>
      </c>
      <c r="V813" t="str">
        <f t="shared" si="64"/>
        <v>12</v>
      </c>
    </row>
    <row r="814" spans="1:22" x14ac:dyDescent="0.3">
      <c r="A814" s="1" t="s">
        <v>1712</v>
      </c>
      <c r="B814" s="1" t="s">
        <v>1713</v>
      </c>
      <c r="C814" s="1" t="s">
        <v>16</v>
      </c>
      <c r="D814">
        <v>39</v>
      </c>
      <c r="E814" s="1" t="s">
        <v>133</v>
      </c>
      <c r="F814" s="1" t="s">
        <v>134</v>
      </c>
      <c r="G814" s="1" t="s">
        <v>34</v>
      </c>
      <c r="H814">
        <v>20</v>
      </c>
      <c r="I814" t="s">
        <v>179</v>
      </c>
      <c r="J814">
        <v>2.7</v>
      </c>
      <c r="K814">
        <v>1</v>
      </c>
      <c r="L814">
        <v>0.67</v>
      </c>
      <c r="M814" s="1" t="s">
        <v>72</v>
      </c>
      <c r="N814" s="1" t="s">
        <v>36</v>
      </c>
      <c r="O814">
        <v>12</v>
      </c>
      <c r="P814">
        <v>2</v>
      </c>
      <c r="Q814" t="str">
        <f t="shared" si="61"/>
        <v>LINDSAY POTTS</v>
      </c>
      <c r="R814" t="str">
        <f t="shared" si="62"/>
        <v>russia</v>
      </c>
      <c r="S814" t="str">
        <f>PROPER(global_freelancer_raw[[#This Row],[NAME UPPER]])</f>
        <v>Lindsay Potts</v>
      </c>
      <c r="T814" t="str">
        <f t="shared" si="63"/>
        <v>Ru</v>
      </c>
      <c r="U814" t="str">
        <f t="shared" si="60"/>
        <v>say Po</v>
      </c>
      <c r="V814" t="str">
        <f t="shared" si="64"/>
        <v>13</v>
      </c>
    </row>
    <row r="815" spans="1:22" x14ac:dyDescent="0.3">
      <c r="A815" s="1" t="s">
        <v>1714</v>
      </c>
      <c r="B815" s="1" t="s">
        <v>1715</v>
      </c>
      <c r="C815" s="1" t="s">
        <v>16</v>
      </c>
      <c r="D815">
        <v>31</v>
      </c>
      <c r="E815" s="1" t="s">
        <v>25</v>
      </c>
      <c r="F815" s="1" t="s">
        <v>26</v>
      </c>
      <c r="G815" s="1" t="s">
        <v>27</v>
      </c>
      <c r="H815">
        <v>0</v>
      </c>
      <c r="I815">
        <v>30</v>
      </c>
      <c r="J815">
        <v>2.2999999999999998</v>
      </c>
      <c r="K815" t="s">
        <v>168</v>
      </c>
      <c r="L815">
        <v>0.79</v>
      </c>
      <c r="M815" s="1" t="s">
        <v>51</v>
      </c>
      <c r="N815" s="1" t="s">
        <v>21</v>
      </c>
      <c r="O815">
        <v>2</v>
      </c>
      <c r="P815">
        <v>1</v>
      </c>
      <c r="Q815" t="str">
        <f t="shared" si="61"/>
        <v>MICHELLE CAMPBELL</v>
      </c>
      <c r="R815" t="str">
        <f t="shared" si="62"/>
        <v>australia</v>
      </c>
      <c r="S815" t="str">
        <f>PROPER(global_freelancer_raw[[#This Row],[NAME UPPER]])</f>
        <v>Michelle Campbell</v>
      </c>
      <c r="T815" t="str">
        <f t="shared" si="63"/>
        <v>Au</v>
      </c>
      <c r="U815" t="str">
        <f t="shared" si="60"/>
        <v>elle C</v>
      </c>
      <c r="V815" t="str">
        <f t="shared" si="64"/>
        <v>14</v>
      </c>
    </row>
    <row r="816" spans="1:22" x14ac:dyDescent="0.3">
      <c r="A816" s="1" t="s">
        <v>1716</v>
      </c>
      <c r="B816" s="1" t="s">
        <v>1717</v>
      </c>
      <c r="C816" s="1" t="s">
        <v>54</v>
      </c>
      <c r="D816">
        <v>22</v>
      </c>
      <c r="E816" s="1" t="s">
        <v>121</v>
      </c>
      <c r="F816" s="1" t="s">
        <v>122</v>
      </c>
      <c r="G816" s="1" t="s">
        <v>82</v>
      </c>
      <c r="H816">
        <v>4</v>
      </c>
      <c r="I816" t="s">
        <v>41</v>
      </c>
      <c r="J816">
        <v>3.8</v>
      </c>
      <c r="K816" t="b">
        <v>1</v>
      </c>
      <c r="L816">
        <v>1</v>
      </c>
      <c r="M816" s="1" t="s">
        <v>77</v>
      </c>
      <c r="N816" s="1" t="s">
        <v>65</v>
      </c>
      <c r="O816">
        <v>2</v>
      </c>
      <c r="P816">
        <v>2</v>
      </c>
      <c r="Q816" t="str">
        <f t="shared" si="61"/>
        <v>ALAN WILLIAMS</v>
      </c>
      <c r="R816" t="str">
        <f t="shared" si="62"/>
        <v>south korea</v>
      </c>
      <c r="S816" t="str">
        <f>PROPER(global_freelancer_raw[[#This Row],[NAME UPPER]])</f>
        <v>Alan Williams</v>
      </c>
      <c r="T816" t="str">
        <f t="shared" si="63"/>
        <v>So</v>
      </c>
      <c r="U816" t="str">
        <f t="shared" si="60"/>
        <v xml:space="preserve"> Willi</v>
      </c>
      <c r="V816" t="str">
        <f t="shared" si="64"/>
        <v>15</v>
      </c>
    </row>
    <row r="817" spans="1:22" x14ac:dyDescent="0.3">
      <c r="A817" s="1" t="s">
        <v>1718</v>
      </c>
      <c r="B817" s="1" t="s">
        <v>1719</v>
      </c>
      <c r="C817" s="1" t="s">
        <v>16</v>
      </c>
      <c r="D817">
        <v>38</v>
      </c>
      <c r="E817" s="1" t="s">
        <v>75</v>
      </c>
      <c r="F817" s="1" t="s">
        <v>26</v>
      </c>
      <c r="G817" s="1" t="s">
        <v>82</v>
      </c>
      <c r="H817">
        <v>10</v>
      </c>
      <c r="I817">
        <v>40</v>
      </c>
      <c r="K817" t="s">
        <v>35</v>
      </c>
      <c r="L817">
        <v>0.66</v>
      </c>
      <c r="M817" s="1" t="s">
        <v>72</v>
      </c>
      <c r="N817" s="1" t="s">
        <v>29</v>
      </c>
      <c r="O817">
        <v>11</v>
      </c>
      <c r="P817">
        <v>13</v>
      </c>
      <c r="Q817" t="str">
        <f t="shared" si="61"/>
        <v>ROBIN HINTON</v>
      </c>
      <c r="R817" t="str">
        <f t="shared" si="62"/>
        <v>uk</v>
      </c>
      <c r="S817" t="str">
        <f>PROPER(global_freelancer_raw[[#This Row],[NAME UPPER]])</f>
        <v>Robin Hinton</v>
      </c>
      <c r="T817" t="str">
        <f t="shared" si="63"/>
        <v>UK</v>
      </c>
      <c r="U817" t="str">
        <f t="shared" si="60"/>
        <v>n Hint</v>
      </c>
      <c r="V817" t="str">
        <f t="shared" si="64"/>
        <v>16</v>
      </c>
    </row>
    <row r="818" spans="1:22" x14ac:dyDescent="0.3">
      <c r="A818" s="1" t="s">
        <v>1720</v>
      </c>
      <c r="B818" s="1" t="s">
        <v>1721</v>
      </c>
      <c r="C818" s="1" t="s">
        <v>106</v>
      </c>
      <c r="D818">
        <v>44</v>
      </c>
      <c r="E818" s="1" t="s">
        <v>80</v>
      </c>
      <c r="F818" s="1" t="s">
        <v>81</v>
      </c>
      <c r="G818" s="1" t="s">
        <v>34</v>
      </c>
      <c r="H818">
        <v>24</v>
      </c>
      <c r="I818" t="s">
        <v>58</v>
      </c>
      <c r="J818">
        <v>4.5999999999999996</v>
      </c>
      <c r="K818" t="s">
        <v>168</v>
      </c>
      <c r="L818">
        <v>0.97</v>
      </c>
      <c r="M818" s="1" t="s">
        <v>72</v>
      </c>
      <c r="N818" s="1" t="s">
        <v>65</v>
      </c>
      <c r="O818">
        <v>19</v>
      </c>
      <c r="P818">
        <v>4</v>
      </c>
      <c r="Q818" t="str">
        <f t="shared" si="61"/>
        <v>BRIAN HOLLAND</v>
      </c>
      <c r="R818" t="str">
        <f t="shared" si="62"/>
        <v>argentina</v>
      </c>
      <c r="S818" t="str">
        <f>PROPER(global_freelancer_raw[[#This Row],[NAME UPPER]])</f>
        <v>Brian Holland</v>
      </c>
      <c r="T818" t="str">
        <f t="shared" si="63"/>
        <v>Ar</v>
      </c>
      <c r="U818" t="str">
        <f t="shared" si="60"/>
        <v>n Holl</v>
      </c>
      <c r="V818" t="str">
        <f t="shared" si="64"/>
        <v>17</v>
      </c>
    </row>
    <row r="819" spans="1:22" x14ac:dyDescent="0.3">
      <c r="A819" s="1" t="s">
        <v>1722</v>
      </c>
      <c r="B819" s="1" t="s">
        <v>1723</v>
      </c>
      <c r="C819" s="1" t="s">
        <v>101</v>
      </c>
      <c r="D819">
        <v>53</v>
      </c>
      <c r="E819" s="1" t="s">
        <v>55</v>
      </c>
      <c r="F819" s="1" t="s">
        <v>56</v>
      </c>
      <c r="G819" s="1" t="s">
        <v>123</v>
      </c>
      <c r="H819">
        <v>21</v>
      </c>
      <c r="I819">
        <v>100</v>
      </c>
      <c r="J819">
        <v>3.4</v>
      </c>
      <c r="K819">
        <v>0</v>
      </c>
      <c r="L819">
        <v>0.62</v>
      </c>
      <c r="M819" s="1" t="s">
        <v>20</v>
      </c>
      <c r="N819" s="1" t="s">
        <v>36</v>
      </c>
      <c r="O819">
        <v>17</v>
      </c>
      <c r="P819">
        <v>3</v>
      </c>
      <c r="Q819" t="str">
        <f t="shared" si="61"/>
        <v>ADAM STONE</v>
      </c>
      <c r="R819" t="str">
        <f t="shared" si="62"/>
        <v>indonesia</v>
      </c>
      <c r="S819" t="str">
        <f>PROPER(global_freelancer_raw[[#This Row],[NAME UPPER]])</f>
        <v>Adam Stone</v>
      </c>
      <c r="T819" t="str">
        <f t="shared" si="63"/>
        <v>In</v>
      </c>
      <c r="U819" t="str">
        <f t="shared" si="60"/>
        <v xml:space="preserve"> Stone</v>
      </c>
      <c r="V819" t="str">
        <f t="shared" si="64"/>
        <v>18</v>
      </c>
    </row>
    <row r="820" spans="1:22" x14ac:dyDescent="0.3">
      <c r="A820" s="1" t="s">
        <v>1724</v>
      </c>
      <c r="B820" s="1" t="s">
        <v>1725</v>
      </c>
      <c r="C820" s="1" t="s">
        <v>106</v>
      </c>
      <c r="D820">
        <v>22</v>
      </c>
      <c r="E820" s="1" t="s">
        <v>184</v>
      </c>
      <c r="F820" s="1" t="s">
        <v>185</v>
      </c>
      <c r="G820" s="1" t="s">
        <v>57</v>
      </c>
      <c r="H820">
        <v>2</v>
      </c>
      <c r="I820" t="s">
        <v>323</v>
      </c>
      <c r="K820" t="s">
        <v>168</v>
      </c>
      <c r="M820" s="1" t="s">
        <v>72</v>
      </c>
      <c r="N820" s="1" t="s">
        <v>29</v>
      </c>
      <c r="O820">
        <v>5</v>
      </c>
      <c r="P820">
        <v>1</v>
      </c>
      <c r="Q820" t="str">
        <f t="shared" si="61"/>
        <v>CURTIS LAMBERT</v>
      </c>
      <c r="R820" t="str">
        <f t="shared" si="62"/>
        <v>china</v>
      </c>
      <c r="S820" t="str">
        <f>PROPER(global_freelancer_raw[[#This Row],[NAME UPPER]])</f>
        <v>Curtis Lambert</v>
      </c>
      <c r="T820" t="str">
        <f t="shared" si="63"/>
        <v>Ch</v>
      </c>
      <c r="U820" t="str">
        <f t="shared" si="60"/>
        <v>is Lam</v>
      </c>
      <c r="V820" t="str">
        <f t="shared" si="64"/>
        <v>19</v>
      </c>
    </row>
    <row r="821" spans="1:22" x14ac:dyDescent="0.3">
      <c r="A821" s="1" t="s">
        <v>1726</v>
      </c>
      <c r="B821" s="1" t="s">
        <v>1727</v>
      </c>
      <c r="C821" s="1" t="s">
        <v>86</v>
      </c>
      <c r="D821">
        <v>40</v>
      </c>
      <c r="E821" s="1" t="s">
        <v>102</v>
      </c>
      <c r="F821" s="1" t="s">
        <v>103</v>
      </c>
      <c r="G821" s="1" t="s">
        <v>19</v>
      </c>
      <c r="H821">
        <v>14</v>
      </c>
      <c r="I821">
        <v>75</v>
      </c>
      <c r="J821">
        <v>0</v>
      </c>
      <c r="K821">
        <v>1</v>
      </c>
      <c r="L821">
        <v>0.79</v>
      </c>
      <c r="M821" s="1" t="s">
        <v>72</v>
      </c>
      <c r="N821" s="1" t="s">
        <v>21</v>
      </c>
      <c r="O821">
        <v>14</v>
      </c>
      <c r="P821">
        <v>1</v>
      </c>
      <c r="Q821" t="str">
        <f t="shared" si="61"/>
        <v>ALEXANDRA SIMS</v>
      </c>
      <c r="R821" t="str">
        <f t="shared" si="62"/>
        <v>india</v>
      </c>
      <c r="S821" t="str">
        <f>PROPER(global_freelancer_raw[[#This Row],[NAME UPPER]])</f>
        <v>Alexandra Sims</v>
      </c>
      <c r="T821" t="str">
        <f t="shared" si="63"/>
        <v>In</v>
      </c>
      <c r="U821" t="str">
        <f t="shared" si="60"/>
        <v xml:space="preserve">andra </v>
      </c>
      <c r="V821" t="str">
        <f t="shared" si="64"/>
        <v>20</v>
      </c>
    </row>
    <row r="822" spans="1:22" x14ac:dyDescent="0.3">
      <c r="A822" s="1" t="s">
        <v>1728</v>
      </c>
      <c r="B822" s="1" t="s">
        <v>1729</v>
      </c>
      <c r="C822" s="1" t="s">
        <v>44</v>
      </c>
      <c r="D822">
        <v>49</v>
      </c>
      <c r="E822" s="1" t="s">
        <v>184</v>
      </c>
      <c r="F822" s="1" t="s">
        <v>185</v>
      </c>
      <c r="G822" s="1" t="s">
        <v>27</v>
      </c>
      <c r="H822">
        <v>15</v>
      </c>
      <c r="I822">
        <v>40</v>
      </c>
      <c r="J822">
        <v>3.9</v>
      </c>
      <c r="K822" t="b">
        <v>0</v>
      </c>
      <c r="L822">
        <v>0.86</v>
      </c>
      <c r="M822" s="1" t="s">
        <v>77</v>
      </c>
      <c r="N822" s="1" t="s">
        <v>65</v>
      </c>
      <c r="O822">
        <v>15</v>
      </c>
      <c r="P822">
        <v>11</v>
      </c>
      <c r="Q822" t="str">
        <f t="shared" si="61"/>
        <v>BRENDA SPENCER</v>
      </c>
      <c r="R822" t="str">
        <f t="shared" si="62"/>
        <v>china</v>
      </c>
      <c r="S822" t="str">
        <f>PROPER(global_freelancer_raw[[#This Row],[NAME UPPER]])</f>
        <v>Brenda Spencer</v>
      </c>
      <c r="T822" t="str">
        <f t="shared" si="63"/>
        <v>Ch</v>
      </c>
      <c r="U822" t="str">
        <f t="shared" si="60"/>
        <v>da Spe</v>
      </c>
      <c r="V822" t="str">
        <f t="shared" si="64"/>
        <v>21</v>
      </c>
    </row>
    <row r="823" spans="1:22" x14ac:dyDescent="0.3">
      <c r="A823" s="1" t="s">
        <v>1730</v>
      </c>
      <c r="B823" s="1" t="s">
        <v>1731</v>
      </c>
      <c r="C823" s="1" t="s">
        <v>68</v>
      </c>
      <c r="D823">
        <v>30</v>
      </c>
      <c r="E823" s="1" t="s">
        <v>25</v>
      </c>
      <c r="F823" s="1" t="s">
        <v>26</v>
      </c>
      <c r="G823" s="1" t="s">
        <v>82</v>
      </c>
      <c r="H823">
        <v>11</v>
      </c>
      <c r="I823" t="s">
        <v>50</v>
      </c>
      <c r="J823">
        <v>4.2</v>
      </c>
      <c r="K823">
        <v>0</v>
      </c>
      <c r="L823">
        <v>0.65</v>
      </c>
      <c r="M823" s="1" t="s">
        <v>72</v>
      </c>
      <c r="N823" s="1" t="s">
        <v>29</v>
      </c>
      <c r="O823">
        <v>13</v>
      </c>
      <c r="P823">
        <v>5</v>
      </c>
      <c r="Q823" t="str">
        <f t="shared" si="61"/>
        <v>JOSHUA BUSH</v>
      </c>
      <c r="R823" t="str">
        <f t="shared" si="62"/>
        <v>australia</v>
      </c>
      <c r="S823" t="str">
        <f>PROPER(global_freelancer_raw[[#This Row],[NAME UPPER]])</f>
        <v>Joshua Bush</v>
      </c>
      <c r="T823" t="str">
        <f t="shared" si="63"/>
        <v>Au</v>
      </c>
      <c r="U823" t="str">
        <f t="shared" si="60"/>
        <v>ua Bus</v>
      </c>
      <c r="V823" t="str">
        <f t="shared" si="64"/>
        <v>22</v>
      </c>
    </row>
    <row r="824" spans="1:22" x14ac:dyDescent="0.3">
      <c r="A824" s="1" t="s">
        <v>1732</v>
      </c>
      <c r="B824" s="1" t="s">
        <v>1733</v>
      </c>
      <c r="C824" s="1" t="s">
        <v>44</v>
      </c>
      <c r="D824">
        <v>37</v>
      </c>
      <c r="E824" s="1" t="s">
        <v>94</v>
      </c>
      <c r="F824" s="1" t="s">
        <v>95</v>
      </c>
      <c r="G824" s="1" t="s">
        <v>49</v>
      </c>
      <c r="H824">
        <v>6</v>
      </c>
      <c r="I824">
        <v>20</v>
      </c>
      <c r="L824">
        <v>0.99</v>
      </c>
      <c r="M824" s="1" t="s">
        <v>77</v>
      </c>
      <c r="N824" s="1" t="s">
        <v>36</v>
      </c>
      <c r="O824">
        <v>14</v>
      </c>
      <c r="P824">
        <v>6</v>
      </c>
      <c r="Q824" t="str">
        <f t="shared" si="61"/>
        <v>ERIN MARTIN</v>
      </c>
      <c r="R824" t="str">
        <f t="shared" si="62"/>
        <v>japan</v>
      </c>
      <c r="S824" t="str">
        <f>PROPER(global_freelancer_raw[[#This Row],[NAME UPPER]])</f>
        <v>Erin Martin</v>
      </c>
      <c r="T824" t="str">
        <f t="shared" si="63"/>
        <v>Ja</v>
      </c>
      <c r="U824" t="str">
        <f t="shared" si="60"/>
        <v xml:space="preserve"> Marti</v>
      </c>
      <c r="V824" t="str">
        <f t="shared" si="64"/>
        <v>23</v>
      </c>
    </row>
    <row r="825" spans="1:22" x14ac:dyDescent="0.3">
      <c r="A825" s="1" t="s">
        <v>1734</v>
      </c>
      <c r="B825" s="1" t="s">
        <v>1735</v>
      </c>
      <c r="C825" s="1" t="s">
        <v>32</v>
      </c>
      <c r="D825">
        <v>21</v>
      </c>
      <c r="E825" s="1" t="s">
        <v>148</v>
      </c>
      <c r="F825" s="1" t="s">
        <v>149</v>
      </c>
      <c r="G825" s="1" t="s">
        <v>34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s="1" t="s">
        <v>77</v>
      </c>
      <c r="N825" s="1" t="s">
        <v>21</v>
      </c>
      <c r="O825">
        <v>3</v>
      </c>
      <c r="P825">
        <v>2</v>
      </c>
      <c r="Q825" t="str">
        <f t="shared" si="61"/>
        <v>ALEXANDER HOGAN</v>
      </c>
      <c r="R825" t="str">
        <f t="shared" si="62"/>
        <v>egypt</v>
      </c>
      <c r="S825" t="str">
        <f>PROPER(global_freelancer_raw[[#This Row],[NAME UPPER]])</f>
        <v>Alexander Hogan</v>
      </c>
      <c r="T825" t="str">
        <f t="shared" si="63"/>
        <v>Eg</v>
      </c>
      <c r="U825" t="str">
        <f t="shared" si="60"/>
        <v xml:space="preserve">ander </v>
      </c>
      <c r="V825" t="str">
        <f t="shared" si="64"/>
        <v>24</v>
      </c>
    </row>
    <row r="826" spans="1:22" x14ac:dyDescent="0.3">
      <c r="A826" s="1" t="s">
        <v>1736</v>
      </c>
      <c r="B826" s="1" t="s">
        <v>1737</v>
      </c>
      <c r="C826" s="1" t="s">
        <v>106</v>
      </c>
      <c r="D826">
        <v>20</v>
      </c>
      <c r="E826" s="1" t="s">
        <v>121</v>
      </c>
      <c r="F826" s="1" t="s">
        <v>122</v>
      </c>
      <c r="G826" s="1" t="s">
        <v>49</v>
      </c>
      <c r="H826">
        <v>1</v>
      </c>
      <c r="I826" t="s">
        <v>107</v>
      </c>
      <c r="K826" t="s">
        <v>76</v>
      </c>
      <c r="L826">
        <v>0.81</v>
      </c>
      <c r="M826" s="1" t="s">
        <v>77</v>
      </c>
      <c r="N826" s="1" t="s">
        <v>65</v>
      </c>
      <c r="O826">
        <v>5</v>
      </c>
      <c r="P826">
        <v>1</v>
      </c>
      <c r="Q826" t="str">
        <f t="shared" si="61"/>
        <v>WILLIAM HARRIS</v>
      </c>
      <c r="R826" t="str">
        <f t="shared" si="62"/>
        <v>south korea</v>
      </c>
      <c r="S826" t="str">
        <f>PROPER(global_freelancer_raw[[#This Row],[NAME UPPER]])</f>
        <v>William Harris</v>
      </c>
      <c r="T826" t="str">
        <f t="shared" si="63"/>
        <v>So</v>
      </c>
      <c r="U826" t="str">
        <f t="shared" si="60"/>
        <v>iam Ha</v>
      </c>
      <c r="V826" t="str">
        <f t="shared" si="64"/>
        <v>25</v>
      </c>
    </row>
    <row r="827" spans="1:22" x14ac:dyDescent="0.3">
      <c r="A827" s="1" t="s">
        <v>1738</v>
      </c>
      <c r="B827" s="1" t="s">
        <v>1739</v>
      </c>
      <c r="C827" s="1" t="s">
        <v>32</v>
      </c>
      <c r="D827">
        <v>20</v>
      </c>
      <c r="E827" s="1" t="s">
        <v>184</v>
      </c>
      <c r="F827" s="1" t="s">
        <v>185</v>
      </c>
      <c r="G827" s="1" t="s">
        <v>57</v>
      </c>
      <c r="H827">
        <v>2</v>
      </c>
      <c r="I827" t="s">
        <v>41</v>
      </c>
      <c r="J827">
        <v>2.1</v>
      </c>
      <c r="K827" t="s">
        <v>35</v>
      </c>
      <c r="L827">
        <v>0.64</v>
      </c>
      <c r="M827" s="1" t="s">
        <v>77</v>
      </c>
      <c r="N827" s="1" t="s">
        <v>65</v>
      </c>
      <c r="O827">
        <v>1</v>
      </c>
      <c r="P827">
        <v>1</v>
      </c>
      <c r="Q827" t="str">
        <f t="shared" si="61"/>
        <v>MICHAEL MCMAHON</v>
      </c>
      <c r="R827" t="str">
        <f t="shared" si="62"/>
        <v>china</v>
      </c>
      <c r="S827" t="str">
        <f>PROPER(global_freelancer_raw[[#This Row],[NAME UPPER]])</f>
        <v>Michael Mcmahon</v>
      </c>
      <c r="T827" t="str">
        <f t="shared" si="63"/>
        <v>Ch</v>
      </c>
      <c r="U827" t="str">
        <f t="shared" si="60"/>
        <v>ael Mc</v>
      </c>
      <c r="V827" t="str">
        <f t="shared" si="64"/>
        <v>26</v>
      </c>
    </row>
    <row r="828" spans="1:22" x14ac:dyDescent="0.3">
      <c r="A828" s="1" t="s">
        <v>1740</v>
      </c>
      <c r="B828" s="1" t="s">
        <v>1741</v>
      </c>
      <c r="C828" s="1" t="s">
        <v>68</v>
      </c>
      <c r="D828">
        <v>20</v>
      </c>
      <c r="E828" s="1" t="s">
        <v>80</v>
      </c>
      <c r="F828" s="1" t="s">
        <v>81</v>
      </c>
      <c r="G828" s="1" t="s">
        <v>123</v>
      </c>
      <c r="H828">
        <v>2</v>
      </c>
      <c r="I828">
        <v>20</v>
      </c>
      <c r="J828">
        <v>3.9</v>
      </c>
      <c r="K828" t="b">
        <v>0</v>
      </c>
      <c r="L828">
        <v>0.84</v>
      </c>
      <c r="M828" s="1" t="s">
        <v>51</v>
      </c>
      <c r="N828" s="1" t="s">
        <v>29</v>
      </c>
      <c r="O828">
        <v>5</v>
      </c>
      <c r="P828">
        <v>1</v>
      </c>
      <c r="Q828" t="str">
        <f t="shared" si="61"/>
        <v>MICHAEL WATSON</v>
      </c>
      <c r="R828" t="str">
        <f t="shared" si="62"/>
        <v>argentina</v>
      </c>
      <c r="S828" t="str">
        <f>PROPER(global_freelancer_raw[[#This Row],[NAME UPPER]])</f>
        <v>Michael Watson</v>
      </c>
      <c r="T828" t="str">
        <f t="shared" si="63"/>
        <v>Ar</v>
      </c>
      <c r="U828" t="str">
        <f t="shared" si="60"/>
        <v>ael Wa</v>
      </c>
      <c r="V828" t="str">
        <f t="shared" si="64"/>
        <v>27</v>
      </c>
    </row>
    <row r="829" spans="1:22" x14ac:dyDescent="0.3">
      <c r="A829" s="1" t="s">
        <v>1742</v>
      </c>
      <c r="B829" s="1" t="s">
        <v>1743</v>
      </c>
      <c r="C829" s="1" t="s">
        <v>16</v>
      </c>
      <c r="D829">
        <v>26</v>
      </c>
      <c r="E829" s="1" t="s">
        <v>133</v>
      </c>
      <c r="F829" s="1" t="s">
        <v>134</v>
      </c>
      <c r="G829" s="1" t="s">
        <v>123</v>
      </c>
      <c r="H829">
        <v>2</v>
      </c>
      <c r="I829">
        <v>40</v>
      </c>
      <c r="J829">
        <v>0</v>
      </c>
      <c r="L829">
        <v>0.66</v>
      </c>
      <c r="M829" s="1" t="s">
        <v>20</v>
      </c>
      <c r="N829" s="1" t="s">
        <v>21</v>
      </c>
      <c r="O829">
        <v>4</v>
      </c>
      <c r="P829">
        <v>3</v>
      </c>
      <c r="Q829" t="str">
        <f t="shared" si="61"/>
        <v>LORI PEREZ</v>
      </c>
      <c r="R829" t="str">
        <f t="shared" si="62"/>
        <v>russia</v>
      </c>
      <c r="S829" t="str">
        <f>PROPER(global_freelancer_raw[[#This Row],[NAME UPPER]])</f>
        <v>Lori Perez</v>
      </c>
      <c r="T829" t="str">
        <f t="shared" si="63"/>
        <v>Ru</v>
      </c>
      <c r="U829" t="str">
        <f t="shared" si="60"/>
        <v xml:space="preserve"> Perez</v>
      </c>
      <c r="V829" t="str">
        <f t="shared" si="64"/>
        <v>28</v>
      </c>
    </row>
    <row r="830" spans="1:22" x14ac:dyDescent="0.3">
      <c r="A830" s="1" t="s">
        <v>1744</v>
      </c>
      <c r="B830" s="1" t="s">
        <v>1745</v>
      </c>
      <c r="C830" s="1" t="s">
        <v>44</v>
      </c>
      <c r="D830">
        <v>50</v>
      </c>
      <c r="E830" s="1" t="s">
        <v>121</v>
      </c>
      <c r="F830" s="1" t="s">
        <v>122</v>
      </c>
      <c r="G830" s="1" t="s">
        <v>40</v>
      </c>
      <c r="H830">
        <v>12</v>
      </c>
      <c r="I830" t="s">
        <v>179</v>
      </c>
      <c r="J830">
        <v>0</v>
      </c>
      <c r="K830" t="b">
        <v>0</v>
      </c>
      <c r="L830">
        <v>75</v>
      </c>
      <c r="M830" s="1" t="s">
        <v>51</v>
      </c>
      <c r="N830" s="1" t="s">
        <v>21</v>
      </c>
      <c r="O830">
        <v>12</v>
      </c>
      <c r="P830">
        <v>10</v>
      </c>
      <c r="Q830" t="str">
        <f t="shared" si="61"/>
        <v>LINDSAY LE</v>
      </c>
      <c r="R830" t="str">
        <f t="shared" si="62"/>
        <v>south korea</v>
      </c>
      <c r="S830" t="str">
        <f>PROPER(global_freelancer_raw[[#This Row],[NAME UPPER]])</f>
        <v>Lindsay Le</v>
      </c>
      <c r="T830" t="str">
        <f t="shared" si="63"/>
        <v>So</v>
      </c>
      <c r="U830" t="str">
        <f t="shared" si="60"/>
        <v>say Le</v>
      </c>
      <c r="V830" t="str">
        <f t="shared" si="64"/>
        <v>29</v>
      </c>
    </row>
    <row r="831" spans="1:22" x14ac:dyDescent="0.3">
      <c r="A831" s="1" t="s">
        <v>1746</v>
      </c>
      <c r="B831" s="1" t="s">
        <v>1747</v>
      </c>
      <c r="C831" s="1" t="s">
        <v>106</v>
      </c>
      <c r="D831">
        <v>50</v>
      </c>
      <c r="E831" s="1" t="s">
        <v>199</v>
      </c>
      <c r="F831" s="1" t="s">
        <v>81</v>
      </c>
      <c r="G831" s="1" t="s">
        <v>49</v>
      </c>
      <c r="H831">
        <v>28</v>
      </c>
      <c r="I831">
        <v>30</v>
      </c>
      <c r="J831">
        <v>1.8</v>
      </c>
      <c r="M831" s="1" t="s">
        <v>72</v>
      </c>
      <c r="N831" s="1" t="s">
        <v>21</v>
      </c>
      <c r="O831">
        <v>15</v>
      </c>
      <c r="P831">
        <v>9</v>
      </c>
      <c r="Q831" t="str">
        <f t="shared" si="61"/>
        <v>SCOTT LONG</v>
      </c>
      <c r="R831" t="str">
        <f t="shared" si="62"/>
        <v>spain</v>
      </c>
      <c r="S831" t="str">
        <f>PROPER(global_freelancer_raw[[#This Row],[NAME UPPER]])</f>
        <v>Scott Long</v>
      </c>
      <c r="T831" t="str">
        <f t="shared" si="63"/>
        <v>Sp</v>
      </c>
      <c r="U831" t="str">
        <f t="shared" si="60"/>
        <v>t Long</v>
      </c>
      <c r="V831" t="str">
        <f t="shared" si="64"/>
        <v>30</v>
      </c>
    </row>
    <row r="832" spans="1:22" x14ac:dyDescent="0.3">
      <c r="A832" s="1" t="s">
        <v>1748</v>
      </c>
      <c r="B832" s="1" t="s">
        <v>1749</v>
      </c>
      <c r="C832" s="1" t="s">
        <v>86</v>
      </c>
      <c r="D832">
        <v>54</v>
      </c>
      <c r="E832" s="1" t="s">
        <v>55</v>
      </c>
      <c r="F832" s="1" t="s">
        <v>56</v>
      </c>
      <c r="G832" s="1" t="s">
        <v>49</v>
      </c>
      <c r="H832">
        <v>4</v>
      </c>
      <c r="I832">
        <v>20</v>
      </c>
      <c r="J832">
        <v>1.1000000000000001</v>
      </c>
      <c r="K832">
        <v>1</v>
      </c>
      <c r="L832">
        <v>0.63</v>
      </c>
      <c r="M832" s="1" t="s">
        <v>51</v>
      </c>
      <c r="N832" s="1" t="s">
        <v>21</v>
      </c>
      <c r="O832">
        <v>3</v>
      </c>
      <c r="P832">
        <v>2</v>
      </c>
      <c r="Q832" t="str">
        <f t="shared" si="61"/>
        <v>DIANA FERGUSON</v>
      </c>
      <c r="R832" t="str">
        <f t="shared" si="62"/>
        <v>indonesia</v>
      </c>
      <c r="S832" t="str">
        <f>PROPER(global_freelancer_raw[[#This Row],[NAME UPPER]])</f>
        <v>Diana Ferguson</v>
      </c>
      <c r="T832" t="str">
        <f t="shared" si="63"/>
        <v>In</v>
      </c>
      <c r="U832" t="str">
        <f t="shared" si="60"/>
        <v>a Ferg</v>
      </c>
      <c r="V832" t="str">
        <f t="shared" si="64"/>
        <v>31</v>
      </c>
    </row>
    <row r="833" spans="1:22" x14ac:dyDescent="0.3">
      <c r="A833" s="1" t="s">
        <v>1750</v>
      </c>
      <c r="B833" s="1" t="s">
        <v>1751</v>
      </c>
      <c r="C833" s="1" t="s">
        <v>32</v>
      </c>
      <c r="D833">
        <v>54</v>
      </c>
      <c r="E833" s="1" t="s">
        <v>199</v>
      </c>
      <c r="F833" s="1" t="s">
        <v>81</v>
      </c>
      <c r="G833" s="1" t="s">
        <v>19</v>
      </c>
      <c r="H833">
        <v>3</v>
      </c>
      <c r="I833">
        <v>20</v>
      </c>
      <c r="J833">
        <v>1.6</v>
      </c>
      <c r="K833" t="s">
        <v>83</v>
      </c>
      <c r="L833">
        <v>0.7</v>
      </c>
      <c r="M833" s="1" t="s">
        <v>51</v>
      </c>
      <c r="N833" s="1" t="s">
        <v>36</v>
      </c>
      <c r="O833">
        <v>1</v>
      </c>
      <c r="P833">
        <v>2</v>
      </c>
      <c r="Q833" t="str">
        <f t="shared" si="61"/>
        <v>JOSEPH MILLER</v>
      </c>
      <c r="R833" t="str">
        <f t="shared" si="62"/>
        <v>spain</v>
      </c>
      <c r="S833" t="str">
        <f>PROPER(global_freelancer_raw[[#This Row],[NAME UPPER]])</f>
        <v>Joseph Miller</v>
      </c>
      <c r="T833" t="str">
        <f t="shared" si="63"/>
        <v>Sp</v>
      </c>
      <c r="U833" t="str">
        <f t="shared" si="60"/>
        <v>ph Mil</v>
      </c>
      <c r="V833" t="str">
        <f t="shared" si="64"/>
        <v>32</v>
      </c>
    </row>
    <row r="834" spans="1:22" x14ac:dyDescent="0.3">
      <c r="A834" s="1" t="s">
        <v>1752</v>
      </c>
      <c r="B834" s="1" t="s">
        <v>1753</v>
      </c>
      <c r="C834" s="1" t="s">
        <v>86</v>
      </c>
      <c r="D834">
        <v>34</v>
      </c>
      <c r="E834" s="1" t="s">
        <v>148</v>
      </c>
      <c r="F834" s="1" t="s">
        <v>149</v>
      </c>
      <c r="G834" s="1" t="s">
        <v>123</v>
      </c>
      <c r="H834">
        <v>4</v>
      </c>
      <c r="I834" t="s">
        <v>50</v>
      </c>
      <c r="J834">
        <v>3.1</v>
      </c>
      <c r="L834">
        <v>0.9</v>
      </c>
      <c r="M834" s="1" t="s">
        <v>72</v>
      </c>
      <c r="N834" s="1" t="s">
        <v>21</v>
      </c>
      <c r="O834">
        <v>1</v>
      </c>
      <c r="P834">
        <v>1</v>
      </c>
      <c r="Q834" t="str">
        <f t="shared" si="61"/>
        <v>JULIA REID</v>
      </c>
      <c r="R834" t="str">
        <f t="shared" si="62"/>
        <v>egypt</v>
      </c>
      <c r="S834" t="str">
        <f>PROPER(global_freelancer_raw[[#This Row],[NAME UPPER]])</f>
        <v>Julia Reid</v>
      </c>
      <c r="T834" t="str">
        <f t="shared" si="63"/>
        <v>Eg</v>
      </c>
      <c r="U834" t="str">
        <f t="shared" ref="U834:U897" si="65">MID(B834,5,6)</f>
        <v>a Reid</v>
      </c>
      <c r="V834" t="str">
        <f t="shared" si="64"/>
        <v>33</v>
      </c>
    </row>
    <row r="835" spans="1:22" x14ac:dyDescent="0.3">
      <c r="A835" s="1" t="s">
        <v>1754</v>
      </c>
      <c r="B835" s="1" t="s">
        <v>1755</v>
      </c>
      <c r="C835" s="1" t="s">
        <v>86</v>
      </c>
      <c r="D835">
        <v>20</v>
      </c>
      <c r="E835" s="1" t="s">
        <v>17</v>
      </c>
      <c r="F835" s="1" t="s">
        <v>18</v>
      </c>
      <c r="G835" s="1" t="s">
        <v>98</v>
      </c>
      <c r="H835">
        <v>1</v>
      </c>
      <c r="I835">
        <v>50</v>
      </c>
      <c r="J835">
        <v>3.4</v>
      </c>
      <c r="K835">
        <v>1</v>
      </c>
      <c r="L835">
        <v>79</v>
      </c>
      <c r="M835" s="1" t="s">
        <v>72</v>
      </c>
      <c r="N835" s="1" t="s">
        <v>65</v>
      </c>
      <c r="O835">
        <v>2</v>
      </c>
      <c r="P835">
        <v>2</v>
      </c>
      <c r="Q835" t="str">
        <f t="shared" ref="Q835:Q898" si="66">UPPER(B835)</f>
        <v>SAMANTHA MATTHEWS</v>
      </c>
      <c r="R835" t="str">
        <f t="shared" ref="R835:R898" si="67">LOWER(E835)</f>
        <v>italy</v>
      </c>
      <c r="S835" t="str">
        <f>PROPER(global_freelancer_raw[[#This Row],[NAME UPPER]])</f>
        <v>Samantha Matthews</v>
      </c>
      <c r="T835" t="str">
        <f t="shared" ref="T835:T898" si="68">LEFT(E835,"2")</f>
        <v>It</v>
      </c>
      <c r="U835" t="str">
        <f t="shared" si="65"/>
        <v>ntha M</v>
      </c>
      <c r="V835" t="str">
        <f t="shared" ref="V835:V898" si="69">RIGHT(A835,"2")</f>
        <v>34</v>
      </c>
    </row>
    <row r="836" spans="1:22" x14ac:dyDescent="0.3">
      <c r="A836" s="1" t="s">
        <v>1756</v>
      </c>
      <c r="B836" s="1" t="s">
        <v>1757</v>
      </c>
      <c r="C836" s="1" t="s">
        <v>32</v>
      </c>
      <c r="D836">
        <v>29</v>
      </c>
      <c r="E836" s="1" t="s">
        <v>33</v>
      </c>
      <c r="F836" s="1" t="s">
        <v>33</v>
      </c>
      <c r="G836" s="1" t="s">
        <v>49</v>
      </c>
      <c r="H836">
        <v>8</v>
      </c>
      <c r="I836">
        <v>40</v>
      </c>
      <c r="J836">
        <v>3.1</v>
      </c>
      <c r="K836" t="s">
        <v>35</v>
      </c>
      <c r="L836">
        <v>0.6</v>
      </c>
      <c r="M836" s="1" t="s">
        <v>72</v>
      </c>
      <c r="N836" s="1" t="s">
        <v>65</v>
      </c>
      <c r="O836">
        <v>7</v>
      </c>
      <c r="P836">
        <v>9</v>
      </c>
      <c r="Q836" t="str">
        <f t="shared" si="66"/>
        <v>BRIAN BAILEY</v>
      </c>
      <c r="R836" t="str">
        <f t="shared" si="67"/>
        <v>germany</v>
      </c>
      <c r="S836" t="str">
        <f>PROPER(global_freelancer_raw[[#This Row],[NAME UPPER]])</f>
        <v>Brian Bailey</v>
      </c>
      <c r="T836" t="str">
        <f t="shared" si="68"/>
        <v>Ge</v>
      </c>
      <c r="U836" t="str">
        <f t="shared" si="65"/>
        <v>n Bail</v>
      </c>
      <c r="V836" t="str">
        <f t="shared" si="69"/>
        <v>35</v>
      </c>
    </row>
    <row r="837" spans="1:22" x14ac:dyDescent="0.3">
      <c r="A837" s="1" t="s">
        <v>1758</v>
      </c>
      <c r="B837" s="1" t="s">
        <v>1759</v>
      </c>
      <c r="C837" s="1" t="s">
        <v>44</v>
      </c>
      <c r="D837">
        <v>57</v>
      </c>
      <c r="E837" s="1" t="s">
        <v>75</v>
      </c>
      <c r="F837" s="1" t="s">
        <v>26</v>
      </c>
      <c r="G837" s="1" t="s">
        <v>98</v>
      </c>
      <c r="H837">
        <v>11</v>
      </c>
      <c r="I837" t="s">
        <v>58</v>
      </c>
      <c r="J837">
        <v>2.2999999999999998</v>
      </c>
      <c r="K837">
        <v>0</v>
      </c>
      <c r="M837" s="1" t="s">
        <v>51</v>
      </c>
      <c r="N837" s="1" t="s">
        <v>36</v>
      </c>
      <c r="O837">
        <v>8</v>
      </c>
      <c r="P837">
        <v>4</v>
      </c>
      <c r="Q837" t="str">
        <f t="shared" si="66"/>
        <v>TONI HINTON</v>
      </c>
      <c r="R837" t="str">
        <f t="shared" si="67"/>
        <v>uk</v>
      </c>
      <c r="S837" t="str">
        <f>PROPER(global_freelancer_raw[[#This Row],[NAME UPPER]])</f>
        <v>Toni Hinton</v>
      </c>
      <c r="T837" t="str">
        <f t="shared" si="68"/>
        <v>UK</v>
      </c>
      <c r="U837" t="str">
        <f t="shared" si="65"/>
        <v xml:space="preserve"> Hinto</v>
      </c>
      <c r="V837" t="str">
        <f t="shared" si="69"/>
        <v>36</v>
      </c>
    </row>
    <row r="838" spans="1:22" x14ac:dyDescent="0.3">
      <c r="A838" s="1" t="s">
        <v>1760</v>
      </c>
      <c r="B838" s="1" t="s">
        <v>1761</v>
      </c>
      <c r="C838" s="1" t="s">
        <v>39</v>
      </c>
      <c r="D838">
        <v>36</v>
      </c>
      <c r="E838" s="1" t="s">
        <v>47</v>
      </c>
      <c r="F838" s="1" t="s">
        <v>48</v>
      </c>
      <c r="G838" s="1" t="s">
        <v>49</v>
      </c>
      <c r="H838">
        <v>8</v>
      </c>
      <c r="I838" t="s">
        <v>61</v>
      </c>
      <c r="K838" t="s">
        <v>35</v>
      </c>
      <c r="L838">
        <v>0.8</v>
      </c>
      <c r="M838" s="1" t="s">
        <v>51</v>
      </c>
      <c r="N838" s="1" t="s">
        <v>65</v>
      </c>
      <c r="O838">
        <v>7</v>
      </c>
      <c r="P838">
        <v>8</v>
      </c>
      <c r="Q838" t="str">
        <f t="shared" si="66"/>
        <v>ROBIN ORTIZ</v>
      </c>
      <c r="R838" t="str">
        <f t="shared" si="67"/>
        <v>netherlands</v>
      </c>
      <c r="S838" t="str">
        <f>PROPER(global_freelancer_raw[[#This Row],[NAME UPPER]])</f>
        <v>Robin Ortiz</v>
      </c>
      <c r="T838" t="str">
        <f t="shared" si="68"/>
        <v>Ne</v>
      </c>
      <c r="U838" t="str">
        <f t="shared" si="65"/>
        <v>n Orti</v>
      </c>
      <c r="V838" t="str">
        <f t="shared" si="69"/>
        <v>37</v>
      </c>
    </row>
    <row r="839" spans="1:22" x14ac:dyDescent="0.3">
      <c r="A839" s="1" t="s">
        <v>1762</v>
      </c>
      <c r="B839" s="1" t="s">
        <v>1763</v>
      </c>
      <c r="C839" s="1" t="s">
        <v>106</v>
      </c>
      <c r="D839">
        <v>51</v>
      </c>
      <c r="E839" s="1" t="s">
        <v>121</v>
      </c>
      <c r="F839" s="1" t="s">
        <v>122</v>
      </c>
      <c r="G839" s="1" t="s">
        <v>40</v>
      </c>
      <c r="H839">
        <v>32</v>
      </c>
      <c r="I839" t="s">
        <v>71</v>
      </c>
      <c r="J839">
        <v>3.2</v>
      </c>
      <c r="K839">
        <v>0</v>
      </c>
      <c r="L839">
        <v>88</v>
      </c>
      <c r="M839" s="1" t="s">
        <v>72</v>
      </c>
      <c r="N839" s="1" t="s">
        <v>65</v>
      </c>
      <c r="O839">
        <v>19</v>
      </c>
      <c r="P839">
        <v>8</v>
      </c>
      <c r="Q839" t="str">
        <f t="shared" si="66"/>
        <v>ADAM GRIFFITH</v>
      </c>
      <c r="R839" t="str">
        <f t="shared" si="67"/>
        <v>south korea</v>
      </c>
      <c r="S839" t="str">
        <f>PROPER(global_freelancer_raw[[#This Row],[NAME UPPER]])</f>
        <v>Adam Griffith</v>
      </c>
      <c r="T839" t="str">
        <f t="shared" si="68"/>
        <v>So</v>
      </c>
      <c r="U839" t="str">
        <f t="shared" si="65"/>
        <v xml:space="preserve"> Griff</v>
      </c>
      <c r="V839" t="str">
        <f t="shared" si="69"/>
        <v>38</v>
      </c>
    </row>
    <row r="840" spans="1:22" x14ac:dyDescent="0.3">
      <c r="A840" s="1" t="s">
        <v>1764</v>
      </c>
      <c r="B840" s="1" t="s">
        <v>1765</v>
      </c>
      <c r="C840" s="1" t="s">
        <v>54</v>
      </c>
      <c r="D840">
        <v>44</v>
      </c>
      <c r="E840" s="1" t="s">
        <v>102</v>
      </c>
      <c r="F840" s="1" t="s">
        <v>103</v>
      </c>
      <c r="G840" s="1" t="s">
        <v>82</v>
      </c>
      <c r="H840">
        <v>4</v>
      </c>
      <c r="I840" t="s">
        <v>118</v>
      </c>
      <c r="J840">
        <v>0</v>
      </c>
      <c r="K840" t="s">
        <v>35</v>
      </c>
      <c r="L840">
        <v>0.8</v>
      </c>
      <c r="M840" s="1" t="s">
        <v>20</v>
      </c>
      <c r="N840" s="1" t="s">
        <v>21</v>
      </c>
      <c r="O840">
        <v>4</v>
      </c>
      <c r="P840">
        <v>1</v>
      </c>
      <c r="Q840" t="str">
        <f t="shared" si="66"/>
        <v>DANIEL ROBERSON</v>
      </c>
      <c r="R840" t="str">
        <f t="shared" si="67"/>
        <v>india</v>
      </c>
      <c r="S840" t="str">
        <f>PROPER(global_freelancer_raw[[#This Row],[NAME UPPER]])</f>
        <v>Daniel Roberson</v>
      </c>
      <c r="T840" t="str">
        <f t="shared" si="68"/>
        <v>In</v>
      </c>
      <c r="U840" t="str">
        <f t="shared" si="65"/>
        <v>el Rob</v>
      </c>
      <c r="V840" t="str">
        <f t="shared" si="69"/>
        <v>39</v>
      </c>
    </row>
    <row r="841" spans="1:22" x14ac:dyDescent="0.3">
      <c r="A841" s="1" t="s">
        <v>1766</v>
      </c>
      <c r="B841" s="1" t="s">
        <v>1767</v>
      </c>
      <c r="C841" s="1" t="s">
        <v>106</v>
      </c>
      <c r="D841">
        <v>58</v>
      </c>
      <c r="E841" s="1" t="s">
        <v>199</v>
      </c>
      <c r="F841" s="1" t="s">
        <v>81</v>
      </c>
      <c r="G841" s="1" t="s">
        <v>87</v>
      </c>
      <c r="H841">
        <v>33</v>
      </c>
      <c r="I841">
        <v>30</v>
      </c>
      <c r="J841">
        <v>3.3</v>
      </c>
      <c r="K841" t="s">
        <v>83</v>
      </c>
      <c r="L841">
        <v>0.71</v>
      </c>
      <c r="M841" s="1" t="s">
        <v>20</v>
      </c>
      <c r="N841" s="1" t="s">
        <v>65</v>
      </c>
      <c r="O841">
        <v>10</v>
      </c>
      <c r="P841">
        <v>10</v>
      </c>
      <c r="Q841" t="str">
        <f t="shared" si="66"/>
        <v>DALE HAYNES</v>
      </c>
      <c r="R841" t="str">
        <f t="shared" si="67"/>
        <v>spain</v>
      </c>
      <c r="S841" t="str">
        <f>PROPER(global_freelancer_raw[[#This Row],[NAME UPPER]])</f>
        <v>Dale Haynes</v>
      </c>
      <c r="T841" t="str">
        <f t="shared" si="68"/>
        <v>Sp</v>
      </c>
      <c r="U841" t="str">
        <f t="shared" si="65"/>
        <v xml:space="preserve"> Hayne</v>
      </c>
      <c r="V841" t="str">
        <f t="shared" si="69"/>
        <v>40</v>
      </c>
    </row>
    <row r="842" spans="1:22" x14ac:dyDescent="0.3">
      <c r="A842" s="1" t="s">
        <v>1768</v>
      </c>
      <c r="B842" s="1" t="s">
        <v>1769</v>
      </c>
      <c r="C842" s="1" t="s">
        <v>16</v>
      </c>
      <c r="D842">
        <v>38</v>
      </c>
      <c r="E842" s="1" t="s">
        <v>162</v>
      </c>
      <c r="F842" s="1" t="s">
        <v>163</v>
      </c>
      <c r="G842" s="1" t="s">
        <v>27</v>
      </c>
      <c r="H842">
        <v>14</v>
      </c>
      <c r="J842">
        <v>1.1000000000000001</v>
      </c>
      <c r="K842">
        <v>1</v>
      </c>
      <c r="L842">
        <v>0.76</v>
      </c>
      <c r="M842" s="1" t="s">
        <v>77</v>
      </c>
      <c r="N842" s="1" t="s">
        <v>36</v>
      </c>
      <c r="O842">
        <v>9</v>
      </c>
      <c r="P842">
        <v>4</v>
      </c>
      <c r="Q842" t="str">
        <f t="shared" si="66"/>
        <v>EMILY SCOTT</v>
      </c>
      <c r="R842" t="str">
        <f t="shared" si="67"/>
        <v>south africa</v>
      </c>
      <c r="S842" t="str">
        <f>PROPER(global_freelancer_raw[[#This Row],[NAME UPPER]])</f>
        <v>Emily Scott</v>
      </c>
      <c r="T842" t="str">
        <f t="shared" si="68"/>
        <v>So</v>
      </c>
      <c r="U842" t="str">
        <f t="shared" si="65"/>
        <v>y Scot</v>
      </c>
      <c r="V842" t="str">
        <f t="shared" si="69"/>
        <v>41</v>
      </c>
    </row>
    <row r="843" spans="1:22" x14ac:dyDescent="0.3">
      <c r="A843" s="1" t="s">
        <v>1770</v>
      </c>
      <c r="B843" s="1" t="s">
        <v>1771</v>
      </c>
      <c r="C843" s="1" t="s">
        <v>101</v>
      </c>
      <c r="D843">
        <v>24</v>
      </c>
      <c r="E843" s="1" t="s">
        <v>64</v>
      </c>
      <c r="F843" s="1" t="s">
        <v>26</v>
      </c>
      <c r="G843" s="1" t="s">
        <v>82</v>
      </c>
      <c r="H843">
        <v>6</v>
      </c>
      <c r="I843" t="s">
        <v>118</v>
      </c>
      <c r="J843">
        <v>4.5999999999999996</v>
      </c>
      <c r="K843">
        <v>1</v>
      </c>
      <c r="L843">
        <v>0.93</v>
      </c>
      <c r="M843" s="1" t="s">
        <v>72</v>
      </c>
      <c r="N843" s="1" t="s">
        <v>21</v>
      </c>
      <c r="O843">
        <v>10</v>
      </c>
      <c r="P843">
        <v>12</v>
      </c>
      <c r="Q843" t="str">
        <f t="shared" si="66"/>
        <v>DAVID BROWN</v>
      </c>
      <c r="R843" t="str">
        <f t="shared" si="67"/>
        <v>us</v>
      </c>
      <c r="S843" t="str">
        <f>PROPER(global_freelancer_raw[[#This Row],[NAME UPPER]])</f>
        <v>David Brown</v>
      </c>
      <c r="T843" t="str">
        <f t="shared" si="68"/>
        <v>US</v>
      </c>
      <c r="U843" t="str">
        <f t="shared" si="65"/>
        <v>d Brow</v>
      </c>
      <c r="V843" t="str">
        <f t="shared" si="69"/>
        <v>42</v>
      </c>
    </row>
    <row r="844" spans="1:22" x14ac:dyDescent="0.3">
      <c r="A844" s="1" t="s">
        <v>1772</v>
      </c>
      <c r="B844" s="1" t="s">
        <v>1773</v>
      </c>
      <c r="C844" s="1" t="s">
        <v>39</v>
      </c>
      <c r="D844">
        <v>30</v>
      </c>
      <c r="E844" s="1" t="s">
        <v>69</v>
      </c>
      <c r="F844" s="1" t="s">
        <v>70</v>
      </c>
      <c r="G844" s="1" t="s">
        <v>19</v>
      </c>
      <c r="H844">
        <v>5</v>
      </c>
      <c r="I844" t="s">
        <v>118</v>
      </c>
      <c r="K844">
        <v>0</v>
      </c>
      <c r="M844" s="1" t="s">
        <v>77</v>
      </c>
      <c r="N844" s="1" t="s">
        <v>29</v>
      </c>
      <c r="O844">
        <v>3</v>
      </c>
      <c r="P844">
        <v>1</v>
      </c>
      <c r="Q844" t="str">
        <f t="shared" si="66"/>
        <v>STEPHANIE GUZMAN</v>
      </c>
      <c r="R844" t="str">
        <f t="shared" si="67"/>
        <v>turkey</v>
      </c>
      <c r="S844" t="str">
        <f>PROPER(global_freelancer_raw[[#This Row],[NAME UPPER]])</f>
        <v>Stephanie Guzman</v>
      </c>
      <c r="T844" t="str">
        <f t="shared" si="68"/>
        <v>Tu</v>
      </c>
      <c r="U844" t="str">
        <f t="shared" si="65"/>
        <v xml:space="preserve">hanie </v>
      </c>
      <c r="V844" t="str">
        <f t="shared" si="69"/>
        <v>43</v>
      </c>
    </row>
    <row r="845" spans="1:22" x14ac:dyDescent="0.3">
      <c r="A845" s="1" t="s">
        <v>1774</v>
      </c>
      <c r="B845" s="1" t="s">
        <v>1775</v>
      </c>
      <c r="C845" s="1" t="s">
        <v>68</v>
      </c>
      <c r="D845">
        <v>25</v>
      </c>
      <c r="E845" s="1" t="s">
        <v>55</v>
      </c>
      <c r="F845" s="1" t="s">
        <v>56</v>
      </c>
      <c r="G845" s="1" t="s">
        <v>87</v>
      </c>
      <c r="H845">
        <v>3</v>
      </c>
      <c r="I845">
        <v>75</v>
      </c>
      <c r="K845">
        <v>0</v>
      </c>
      <c r="L845">
        <v>0.83</v>
      </c>
      <c r="M845" s="1" t="s">
        <v>20</v>
      </c>
      <c r="N845" s="1" t="s">
        <v>21</v>
      </c>
      <c r="O845">
        <v>5</v>
      </c>
      <c r="P845">
        <v>1</v>
      </c>
      <c r="Q845" t="str">
        <f t="shared" si="66"/>
        <v>MAXWELL JOHNSON</v>
      </c>
      <c r="R845" t="str">
        <f t="shared" si="67"/>
        <v>indonesia</v>
      </c>
      <c r="S845" t="str">
        <f>PROPER(global_freelancer_raw[[#This Row],[NAME UPPER]])</f>
        <v>Maxwell Johnson</v>
      </c>
      <c r="T845" t="str">
        <f t="shared" si="68"/>
        <v>In</v>
      </c>
      <c r="U845" t="str">
        <f t="shared" si="65"/>
        <v>ell Jo</v>
      </c>
      <c r="V845" t="str">
        <f t="shared" si="69"/>
        <v>44</v>
      </c>
    </row>
    <row r="846" spans="1:22" x14ac:dyDescent="0.3">
      <c r="A846" s="1" t="s">
        <v>1776</v>
      </c>
      <c r="B846" s="1" t="s">
        <v>1777</v>
      </c>
      <c r="C846" s="1" t="s">
        <v>101</v>
      </c>
      <c r="D846">
        <v>54</v>
      </c>
      <c r="E846" s="1" t="s">
        <v>55</v>
      </c>
      <c r="F846" s="1" t="s">
        <v>56</v>
      </c>
      <c r="G846" s="1" t="s">
        <v>27</v>
      </c>
      <c r="H846">
        <v>17</v>
      </c>
      <c r="I846" t="s">
        <v>238</v>
      </c>
      <c r="J846">
        <v>0</v>
      </c>
      <c r="K846">
        <v>0</v>
      </c>
      <c r="L846">
        <v>0.71</v>
      </c>
      <c r="M846" s="1" t="s">
        <v>77</v>
      </c>
      <c r="N846" s="1" t="s">
        <v>36</v>
      </c>
      <c r="O846">
        <v>17</v>
      </c>
      <c r="P846">
        <v>12</v>
      </c>
      <c r="Q846" t="str">
        <f t="shared" si="66"/>
        <v>REGINALD STEPHENS</v>
      </c>
      <c r="R846" t="str">
        <f t="shared" si="67"/>
        <v>indonesia</v>
      </c>
      <c r="S846" t="str">
        <f>PROPER(global_freelancer_raw[[#This Row],[NAME UPPER]])</f>
        <v>Reginald Stephens</v>
      </c>
      <c r="T846" t="str">
        <f t="shared" si="68"/>
        <v>In</v>
      </c>
      <c r="U846" t="str">
        <f t="shared" si="65"/>
        <v>nald S</v>
      </c>
      <c r="V846" t="str">
        <f t="shared" si="69"/>
        <v>45</v>
      </c>
    </row>
    <row r="847" spans="1:22" x14ac:dyDescent="0.3">
      <c r="A847" s="1" t="s">
        <v>1778</v>
      </c>
      <c r="B847" s="1" t="s">
        <v>1779</v>
      </c>
      <c r="C847" s="1" t="s">
        <v>32</v>
      </c>
      <c r="D847">
        <v>54</v>
      </c>
      <c r="E847" s="1" t="s">
        <v>17</v>
      </c>
      <c r="F847" s="1" t="s">
        <v>18</v>
      </c>
      <c r="G847" s="1" t="s">
        <v>87</v>
      </c>
      <c r="H847">
        <v>9</v>
      </c>
      <c r="I847" t="s">
        <v>323</v>
      </c>
      <c r="J847">
        <v>0</v>
      </c>
      <c r="K847" t="s">
        <v>76</v>
      </c>
      <c r="L847">
        <v>0.96</v>
      </c>
      <c r="M847" s="1" t="s">
        <v>72</v>
      </c>
      <c r="N847" s="1" t="s">
        <v>21</v>
      </c>
      <c r="O847">
        <v>7</v>
      </c>
      <c r="P847">
        <v>8</v>
      </c>
      <c r="Q847" t="str">
        <f t="shared" si="66"/>
        <v>JUSTIN JONES</v>
      </c>
      <c r="R847" t="str">
        <f t="shared" si="67"/>
        <v>italy</v>
      </c>
      <c r="S847" t="str">
        <f>PROPER(global_freelancer_raw[[#This Row],[NAME UPPER]])</f>
        <v>Justin Jones</v>
      </c>
      <c r="T847" t="str">
        <f t="shared" si="68"/>
        <v>It</v>
      </c>
      <c r="U847" t="str">
        <f t="shared" si="65"/>
        <v>in Jon</v>
      </c>
      <c r="V847" t="str">
        <f t="shared" si="69"/>
        <v>46</v>
      </c>
    </row>
    <row r="848" spans="1:22" x14ac:dyDescent="0.3">
      <c r="A848" s="1" t="s">
        <v>1780</v>
      </c>
      <c r="B848" s="1" t="s">
        <v>1781</v>
      </c>
      <c r="C848" s="1" t="s">
        <v>39</v>
      </c>
      <c r="D848">
        <v>53</v>
      </c>
      <c r="E848" s="1" t="s">
        <v>144</v>
      </c>
      <c r="F848" s="1" t="s">
        <v>145</v>
      </c>
      <c r="G848" s="1" t="s">
        <v>34</v>
      </c>
      <c r="H848">
        <v>16</v>
      </c>
      <c r="I848">
        <v>40</v>
      </c>
      <c r="J848">
        <v>0</v>
      </c>
      <c r="K848" t="s">
        <v>168</v>
      </c>
      <c r="M848" s="1" t="s">
        <v>72</v>
      </c>
      <c r="N848" s="1" t="s">
        <v>21</v>
      </c>
      <c r="O848">
        <v>10</v>
      </c>
      <c r="P848">
        <v>13</v>
      </c>
      <c r="Q848" t="str">
        <f t="shared" si="66"/>
        <v>KRISTINE GARCIA</v>
      </c>
      <c r="R848" t="str">
        <f t="shared" si="67"/>
        <v>france</v>
      </c>
      <c r="S848" t="str">
        <f>PROPER(global_freelancer_raw[[#This Row],[NAME UPPER]])</f>
        <v>Kristine Garcia</v>
      </c>
      <c r="T848" t="str">
        <f t="shared" si="68"/>
        <v>Fr</v>
      </c>
      <c r="U848" t="str">
        <f t="shared" si="65"/>
        <v>tine G</v>
      </c>
      <c r="V848" t="str">
        <f t="shared" si="69"/>
        <v>47</v>
      </c>
    </row>
    <row r="849" spans="1:22" x14ac:dyDescent="0.3">
      <c r="A849" s="1" t="s">
        <v>1782</v>
      </c>
      <c r="B849" s="1" t="s">
        <v>1783</v>
      </c>
      <c r="C849" s="1" t="s">
        <v>32</v>
      </c>
      <c r="D849">
        <v>22</v>
      </c>
      <c r="E849" s="1" t="s">
        <v>133</v>
      </c>
      <c r="F849" s="1" t="s">
        <v>134</v>
      </c>
      <c r="G849" s="1" t="s">
        <v>49</v>
      </c>
      <c r="H849">
        <v>3</v>
      </c>
      <c r="I849">
        <v>75</v>
      </c>
      <c r="J849">
        <v>3.4</v>
      </c>
      <c r="K849" t="s">
        <v>83</v>
      </c>
      <c r="L849">
        <v>0.65</v>
      </c>
      <c r="M849" s="1" t="s">
        <v>72</v>
      </c>
      <c r="N849" s="1" t="s">
        <v>36</v>
      </c>
      <c r="O849">
        <v>4</v>
      </c>
      <c r="P849">
        <v>1</v>
      </c>
      <c r="Q849" t="str">
        <f t="shared" si="66"/>
        <v>JOHN NGUYEN</v>
      </c>
      <c r="R849" t="str">
        <f t="shared" si="67"/>
        <v>russia</v>
      </c>
      <c r="S849" t="str">
        <f>PROPER(global_freelancer_raw[[#This Row],[NAME UPPER]])</f>
        <v>John Nguyen</v>
      </c>
      <c r="T849" t="str">
        <f t="shared" si="68"/>
        <v>Ru</v>
      </c>
      <c r="U849" t="str">
        <f t="shared" si="65"/>
        <v xml:space="preserve"> Nguye</v>
      </c>
      <c r="V849" t="str">
        <f t="shared" si="69"/>
        <v>48</v>
      </c>
    </row>
    <row r="850" spans="1:22" x14ac:dyDescent="0.3">
      <c r="A850" s="1" t="s">
        <v>1784</v>
      </c>
      <c r="B850" s="1" t="s">
        <v>1785</v>
      </c>
      <c r="C850" s="1" t="s">
        <v>44</v>
      </c>
      <c r="D850">
        <v>23</v>
      </c>
      <c r="E850" s="1" t="s">
        <v>188</v>
      </c>
      <c r="F850" s="1" t="s">
        <v>81</v>
      </c>
      <c r="G850" s="1" t="s">
        <v>57</v>
      </c>
      <c r="H850">
        <v>2</v>
      </c>
      <c r="I850" t="s">
        <v>323</v>
      </c>
      <c r="J850">
        <v>1.3</v>
      </c>
      <c r="K850" t="s">
        <v>35</v>
      </c>
      <c r="M850" s="1" t="s">
        <v>51</v>
      </c>
      <c r="N850" s="1" t="s">
        <v>21</v>
      </c>
      <c r="O850">
        <v>1</v>
      </c>
      <c r="P850">
        <v>4</v>
      </c>
      <c r="Q850" t="str">
        <f t="shared" si="66"/>
        <v>ANNA FLEMING</v>
      </c>
      <c r="R850" t="str">
        <f t="shared" si="67"/>
        <v>mexico</v>
      </c>
      <c r="S850" t="str">
        <f>PROPER(global_freelancer_raw[[#This Row],[NAME UPPER]])</f>
        <v>Anna Fleming</v>
      </c>
      <c r="T850" t="str">
        <f t="shared" si="68"/>
        <v>Me</v>
      </c>
      <c r="U850" t="str">
        <f t="shared" si="65"/>
        <v xml:space="preserve"> Flemi</v>
      </c>
      <c r="V850" t="str">
        <f t="shared" si="69"/>
        <v>49</v>
      </c>
    </row>
    <row r="851" spans="1:22" x14ac:dyDescent="0.3">
      <c r="A851" s="1" t="s">
        <v>1786</v>
      </c>
      <c r="B851" s="1" t="s">
        <v>1787</v>
      </c>
      <c r="C851" s="1" t="s">
        <v>24</v>
      </c>
      <c r="D851">
        <v>47</v>
      </c>
      <c r="E851" s="1" t="s">
        <v>144</v>
      </c>
      <c r="F851" s="1" t="s">
        <v>145</v>
      </c>
      <c r="G851" s="1" t="s">
        <v>87</v>
      </c>
      <c r="H851">
        <v>16</v>
      </c>
      <c r="I851">
        <v>50</v>
      </c>
      <c r="J851">
        <v>1.9</v>
      </c>
      <c r="K851">
        <v>0</v>
      </c>
      <c r="L851">
        <v>0.71</v>
      </c>
      <c r="M851" s="1" t="s">
        <v>77</v>
      </c>
      <c r="N851" s="1" t="s">
        <v>36</v>
      </c>
      <c r="O851">
        <v>18</v>
      </c>
      <c r="P851">
        <v>4</v>
      </c>
      <c r="Q851" t="str">
        <f t="shared" si="66"/>
        <v>LINDA WILLIAMSON</v>
      </c>
      <c r="R851" t="str">
        <f t="shared" si="67"/>
        <v>france</v>
      </c>
      <c r="S851" t="str">
        <f>PROPER(global_freelancer_raw[[#This Row],[NAME UPPER]])</f>
        <v>Linda Williamson</v>
      </c>
      <c r="T851" t="str">
        <f t="shared" si="68"/>
        <v>Fr</v>
      </c>
      <c r="U851" t="str">
        <f t="shared" si="65"/>
        <v>a Will</v>
      </c>
      <c r="V851" t="str">
        <f t="shared" si="69"/>
        <v>50</v>
      </c>
    </row>
    <row r="852" spans="1:22" x14ac:dyDescent="0.3">
      <c r="A852" s="1" t="s">
        <v>1788</v>
      </c>
      <c r="B852" s="1" t="s">
        <v>1789</v>
      </c>
      <c r="C852" s="1" t="s">
        <v>106</v>
      </c>
      <c r="D852">
        <v>24</v>
      </c>
      <c r="E852" s="1" t="s">
        <v>144</v>
      </c>
      <c r="F852" s="1" t="s">
        <v>145</v>
      </c>
      <c r="G852" s="1" t="s">
        <v>40</v>
      </c>
      <c r="H852">
        <v>6</v>
      </c>
      <c r="I852">
        <v>50</v>
      </c>
      <c r="J852">
        <v>1.4</v>
      </c>
      <c r="K852" t="s">
        <v>83</v>
      </c>
      <c r="L852">
        <v>63</v>
      </c>
      <c r="M852" s="1" t="s">
        <v>20</v>
      </c>
      <c r="N852" s="1" t="s">
        <v>36</v>
      </c>
      <c r="O852">
        <v>15</v>
      </c>
      <c r="P852">
        <v>9</v>
      </c>
      <c r="Q852" t="str">
        <f t="shared" si="66"/>
        <v>ROY WILSON</v>
      </c>
      <c r="R852" t="str">
        <f t="shared" si="67"/>
        <v>france</v>
      </c>
      <c r="S852" t="str">
        <f>PROPER(global_freelancer_raw[[#This Row],[NAME UPPER]])</f>
        <v>Roy Wilson</v>
      </c>
      <c r="T852" t="str">
        <f t="shared" si="68"/>
        <v>Fr</v>
      </c>
      <c r="U852" t="str">
        <f t="shared" si="65"/>
        <v>Wilson</v>
      </c>
      <c r="V852" t="str">
        <f t="shared" si="69"/>
        <v>51</v>
      </c>
    </row>
    <row r="853" spans="1:22" x14ac:dyDescent="0.3">
      <c r="A853" s="1" t="s">
        <v>1790</v>
      </c>
      <c r="B853" s="1" t="s">
        <v>1791</v>
      </c>
      <c r="C853" s="1" t="s">
        <v>16</v>
      </c>
      <c r="D853">
        <v>57</v>
      </c>
      <c r="E853" s="1" t="s">
        <v>102</v>
      </c>
      <c r="F853" s="1" t="s">
        <v>103</v>
      </c>
      <c r="G853" s="1" t="s">
        <v>82</v>
      </c>
      <c r="H853">
        <v>10</v>
      </c>
      <c r="I853" t="s">
        <v>238</v>
      </c>
      <c r="J853">
        <v>4.3</v>
      </c>
      <c r="K853" t="b">
        <v>0</v>
      </c>
      <c r="M853" s="1" t="s">
        <v>20</v>
      </c>
      <c r="N853" s="1" t="s">
        <v>29</v>
      </c>
      <c r="O853">
        <v>13</v>
      </c>
      <c r="P853">
        <v>14</v>
      </c>
      <c r="Q853" t="str">
        <f t="shared" si="66"/>
        <v>JENNIFER PIERCE</v>
      </c>
      <c r="R853" t="str">
        <f t="shared" si="67"/>
        <v>india</v>
      </c>
      <c r="S853" t="str">
        <f>PROPER(global_freelancer_raw[[#This Row],[NAME UPPER]])</f>
        <v>Jennifer Pierce</v>
      </c>
      <c r="T853" t="str">
        <f t="shared" si="68"/>
        <v>In</v>
      </c>
      <c r="U853" t="str">
        <f t="shared" si="65"/>
        <v>ifer P</v>
      </c>
      <c r="V853" t="str">
        <f t="shared" si="69"/>
        <v>52</v>
      </c>
    </row>
    <row r="854" spans="1:22" x14ac:dyDescent="0.3">
      <c r="A854" s="1" t="s">
        <v>1792</v>
      </c>
      <c r="B854" s="1" t="s">
        <v>1793</v>
      </c>
      <c r="C854" s="1" t="s">
        <v>106</v>
      </c>
      <c r="D854">
        <v>48</v>
      </c>
      <c r="E854" s="1" t="s">
        <v>199</v>
      </c>
      <c r="F854" s="1" t="s">
        <v>81</v>
      </c>
      <c r="G854" s="1" t="s">
        <v>34</v>
      </c>
      <c r="H854">
        <v>16</v>
      </c>
      <c r="I854" t="s">
        <v>50</v>
      </c>
      <c r="K854" t="s">
        <v>168</v>
      </c>
      <c r="L854">
        <v>0.97</v>
      </c>
      <c r="M854" s="1" t="s">
        <v>20</v>
      </c>
      <c r="N854" s="1" t="s">
        <v>65</v>
      </c>
      <c r="O854">
        <v>11</v>
      </c>
      <c r="P854">
        <v>6</v>
      </c>
      <c r="Q854" t="str">
        <f t="shared" si="66"/>
        <v>JASON JOHNSON</v>
      </c>
      <c r="R854" t="str">
        <f t="shared" si="67"/>
        <v>spain</v>
      </c>
      <c r="S854" t="str">
        <f>PROPER(global_freelancer_raw[[#This Row],[NAME UPPER]])</f>
        <v>Jason Johnson</v>
      </c>
      <c r="T854" t="str">
        <f t="shared" si="68"/>
        <v>Sp</v>
      </c>
      <c r="U854" t="str">
        <f t="shared" si="65"/>
        <v>n John</v>
      </c>
      <c r="V854" t="str">
        <f t="shared" si="69"/>
        <v>53</v>
      </c>
    </row>
    <row r="855" spans="1:22" x14ac:dyDescent="0.3">
      <c r="A855" s="1" t="s">
        <v>1794</v>
      </c>
      <c r="B855" s="1" t="s">
        <v>1795</v>
      </c>
      <c r="C855" s="1" t="s">
        <v>86</v>
      </c>
      <c r="D855">
        <v>21</v>
      </c>
      <c r="E855" s="1" t="s">
        <v>69</v>
      </c>
      <c r="F855" s="1" t="s">
        <v>70</v>
      </c>
      <c r="G855" s="1" t="s">
        <v>82</v>
      </c>
      <c r="H855">
        <v>0</v>
      </c>
      <c r="I855" t="s">
        <v>238</v>
      </c>
      <c r="J855">
        <v>4.3</v>
      </c>
      <c r="K855">
        <v>0</v>
      </c>
      <c r="M855" s="1" t="s">
        <v>51</v>
      </c>
      <c r="N855" s="1" t="s">
        <v>65</v>
      </c>
      <c r="O855">
        <v>4</v>
      </c>
      <c r="P855">
        <v>2</v>
      </c>
      <c r="Q855" t="str">
        <f t="shared" si="66"/>
        <v>JASMINE LANE</v>
      </c>
      <c r="R855" t="str">
        <f t="shared" si="67"/>
        <v>turkey</v>
      </c>
      <c r="S855" t="str">
        <f>PROPER(global_freelancer_raw[[#This Row],[NAME UPPER]])</f>
        <v>Jasmine Lane</v>
      </c>
      <c r="T855" t="str">
        <f t="shared" si="68"/>
        <v>Tu</v>
      </c>
      <c r="U855" t="str">
        <f t="shared" si="65"/>
        <v>ine La</v>
      </c>
      <c r="V855" t="str">
        <f t="shared" si="69"/>
        <v>54</v>
      </c>
    </row>
    <row r="856" spans="1:22" x14ac:dyDescent="0.3">
      <c r="A856" s="1" t="s">
        <v>1796</v>
      </c>
      <c r="B856" s="1" t="s">
        <v>1797</v>
      </c>
      <c r="C856" s="1" t="s">
        <v>54</v>
      </c>
      <c r="D856">
        <v>33</v>
      </c>
      <c r="E856" s="1" t="s">
        <v>94</v>
      </c>
      <c r="F856" s="1" t="s">
        <v>95</v>
      </c>
      <c r="G856" s="1" t="s">
        <v>49</v>
      </c>
      <c r="H856">
        <v>13</v>
      </c>
      <c r="I856" t="s">
        <v>58</v>
      </c>
      <c r="J856">
        <v>0</v>
      </c>
      <c r="K856" t="b">
        <v>1</v>
      </c>
      <c r="M856" s="1" t="s">
        <v>51</v>
      </c>
      <c r="N856" s="1" t="s">
        <v>21</v>
      </c>
      <c r="O856">
        <v>10</v>
      </c>
      <c r="P856">
        <v>5</v>
      </c>
      <c r="Q856" t="str">
        <f t="shared" si="66"/>
        <v>EVAN SOTO</v>
      </c>
      <c r="R856" t="str">
        <f t="shared" si="67"/>
        <v>japan</v>
      </c>
      <c r="S856" t="str">
        <f>PROPER(global_freelancer_raw[[#This Row],[NAME UPPER]])</f>
        <v>Evan Soto</v>
      </c>
      <c r="T856" t="str">
        <f t="shared" si="68"/>
        <v>Ja</v>
      </c>
      <c r="U856" t="str">
        <f t="shared" si="65"/>
        <v xml:space="preserve"> Soto</v>
      </c>
      <c r="V856" t="str">
        <f t="shared" si="69"/>
        <v>55</v>
      </c>
    </row>
    <row r="857" spans="1:22" x14ac:dyDescent="0.3">
      <c r="A857" s="1" t="s">
        <v>1798</v>
      </c>
      <c r="B857" s="1" t="s">
        <v>1799</v>
      </c>
      <c r="C857" s="1" t="s">
        <v>106</v>
      </c>
      <c r="D857">
        <v>41</v>
      </c>
      <c r="E857" s="1" t="s">
        <v>69</v>
      </c>
      <c r="F857" s="1" t="s">
        <v>70</v>
      </c>
      <c r="G857" s="1" t="s">
        <v>98</v>
      </c>
      <c r="H857">
        <v>12</v>
      </c>
      <c r="J857">
        <v>1.3</v>
      </c>
      <c r="K857">
        <v>0</v>
      </c>
      <c r="L857">
        <v>0.85</v>
      </c>
      <c r="M857" s="1" t="s">
        <v>72</v>
      </c>
      <c r="N857" s="1" t="s">
        <v>21</v>
      </c>
      <c r="O857">
        <v>7</v>
      </c>
      <c r="P857">
        <v>2</v>
      </c>
      <c r="Q857" t="str">
        <f t="shared" si="66"/>
        <v>KEVIN SERRANO</v>
      </c>
      <c r="R857" t="str">
        <f t="shared" si="67"/>
        <v>turkey</v>
      </c>
      <c r="S857" t="str">
        <f>PROPER(global_freelancer_raw[[#This Row],[NAME UPPER]])</f>
        <v>Kevin Serrano</v>
      </c>
      <c r="T857" t="str">
        <f t="shared" si="68"/>
        <v>Tu</v>
      </c>
      <c r="U857" t="str">
        <f t="shared" si="65"/>
        <v>n Serr</v>
      </c>
      <c r="V857" t="str">
        <f t="shared" si="69"/>
        <v>56</v>
      </c>
    </row>
    <row r="858" spans="1:22" x14ac:dyDescent="0.3">
      <c r="A858" s="1" t="s">
        <v>1800</v>
      </c>
      <c r="B858" s="1" t="s">
        <v>1801</v>
      </c>
      <c r="C858" s="1" t="s">
        <v>68</v>
      </c>
      <c r="D858">
        <v>40</v>
      </c>
      <c r="E858" s="1" t="s">
        <v>25</v>
      </c>
      <c r="F858" s="1" t="s">
        <v>26</v>
      </c>
      <c r="G858" s="1" t="s">
        <v>87</v>
      </c>
      <c r="H858">
        <v>13</v>
      </c>
      <c r="I858" t="s">
        <v>107</v>
      </c>
      <c r="J858">
        <v>2.9</v>
      </c>
      <c r="K858" t="s">
        <v>168</v>
      </c>
      <c r="L858">
        <v>0.82</v>
      </c>
      <c r="M858" s="1" t="s">
        <v>20</v>
      </c>
      <c r="N858" s="1" t="s">
        <v>29</v>
      </c>
      <c r="O858">
        <v>14</v>
      </c>
      <c r="P858">
        <v>8</v>
      </c>
      <c r="Q858" t="str">
        <f t="shared" si="66"/>
        <v>NATHANIEL BENSON</v>
      </c>
      <c r="R858" t="str">
        <f t="shared" si="67"/>
        <v>australia</v>
      </c>
      <c r="S858" t="str">
        <f>PROPER(global_freelancer_raw[[#This Row],[NAME UPPER]])</f>
        <v>Nathaniel Benson</v>
      </c>
      <c r="T858" t="str">
        <f t="shared" si="68"/>
        <v>Au</v>
      </c>
      <c r="U858" t="str">
        <f t="shared" si="65"/>
        <v xml:space="preserve">aniel </v>
      </c>
      <c r="V858" t="str">
        <f t="shared" si="69"/>
        <v>57</v>
      </c>
    </row>
    <row r="859" spans="1:22" x14ac:dyDescent="0.3">
      <c r="A859" s="1" t="s">
        <v>1802</v>
      </c>
      <c r="B859" s="1" t="s">
        <v>1803</v>
      </c>
      <c r="C859" s="1" t="s">
        <v>16</v>
      </c>
      <c r="D859">
        <v>40</v>
      </c>
      <c r="E859" s="1" t="s">
        <v>188</v>
      </c>
      <c r="F859" s="1" t="s">
        <v>81</v>
      </c>
      <c r="G859" s="1" t="s">
        <v>34</v>
      </c>
      <c r="H859">
        <v>22</v>
      </c>
      <c r="I859" t="s">
        <v>61</v>
      </c>
      <c r="J859">
        <v>4.3</v>
      </c>
      <c r="K859">
        <v>0</v>
      </c>
      <c r="L859">
        <v>0.95</v>
      </c>
      <c r="M859" s="1" t="s">
        <v>51</v>
      </c>
      <c r="N859" s="1" t="s">
        <v>29</v>
      </c>
      <c r="O859">
        <v>14</v>
      </c>
      <c r="P859">
        <v>12</v>
      </c>
      <c r="Q859" t="str">
        <f t="shared" si="66"/>
        <v>DEANNA MILES</v>
      </c>
      <c r="R859" t="str">
        <f t="shared" si="67"/>
        <v>mexico</v>
      </c>
      <c r="S859" t="str">
        <f>PROPER(global_freelancer_raw[[#This Row],[NAME UPPER]])</f>
        <v>Deanna Miles</v>
      </c>
      <c r="T859" t="str">
        <f t="shared" si="68"/>
        <v>Me</v>
      </c>
      <c r="U859" t="str">
        <f t="shared" si="65"/>
        <v>na Mil</v>
      </c>
      <c r="V859" t="str">
        <f t="shared" si="69"/>
        <v>58</v>
      </c>
    </row>
    <row r="860" spans="1:22" x14ac:dyDescent="0.3">
      <c r="A860" s="1" t="s">
        <v>1804</v>
      </c>
      <c r="B860" s="1" t="s">
        <v>1805</v>
      </c>
      <c r="C860" s="1" t="s">
        <v>86</v>
      </c>
      <c r="D860">
        <v>20</v>
      </c>
      <c r="E860" s="1" t="s">
        <v>64</v>
      </c>
      <c r="F860" s="1" t="s">
        <v>26</v>
      </c>
      <c r="G860" s="1" t="s">
        <v>34</v>
      </c>
      <c r="H860">
        <v>1</v>
      </c>
      <c r="J860">
        <v>2.7</v>
      </c>
      <c r="K860">
        <v>0</v>
      </c>
      <c r="L860">
        <v>94</v>
      </c>
      <c r="M860" s="1" t="s">
        <v>72</v>
      </c>
      <c r="N860" s="1" t="s">
        <v>29</v>
      </c>
      <c r="O860">
        <v>3</v>
      </c>
      <c r="P860">
        <v>1</v>
      </c>
      <c r="Q860" t="str">
        <f t="shared" si="66"/>
        <v>BEVERLY ROY</v>
      </c>
      <c r="R860" t="str">
        <f t="shared" si="67"/>
        <v>us</v>
      </c>
      <c r="S860" t="str">
        <f>PROPER(global_freelancer_raw[[#This Row],[NAME UPPER]])</f>
        <v>Beverly Roy</v>
      </c>
      <c r="T860" t="str">
        <f t="shared" si="68"/>
        <v>US</v>
      </c>
      <c r="U860" t="str">
        <f t="shared" si="65"/>
        <v>rly Ro</v>
      </c>
      <c r="V860" t="str">
        <f t="shared" si="69"/>
        <v>59</v>
      </c>
    </row>
    <row r="861" spans="1:22" x14ac:dyDescent="0.3">
      <c r="A861" s="1" t="s">
        <v>1806</v>
      </c>
      <c r="B861" s="1" t="s">
        <v>1807</v>
      </c>
      <c r="C861" s="1" t="s">
        <v>39</v>
      </c>
      <c r="D861">
        <v>42</v>
      </c>
      <c r="E861" s="1" t="s">
        <v>188</v>
      </c>
      <c r="F861" s="1" t="s">
        <v>81</v>
      </c>
      <c r="G861" s="1" t="s">
        <v>40</v>
      </c>
      <c r="I861" t="s">
        <v>71</v>
      </c>
      <c r="J861">
        <v>4.2</v>
      </c>
      <c r="L861">
        <v>0.96</v>
      </c>
      <c r="M861" s="1" t="s">
        <v>20</v>
      </c>
      <c r="N861" s="1" t="s">
        <v>36</v>
      </c>
      <c r="O861">
        <v>1</v>
      </c>
      <c r="P861">
        <v>1</v>
      </c>
      <c r="Q861" t="str">
        <f t="shared" si="66"/>
        <v>HEATHER SAUNDERS</v>
      </c>
      <c r="R861" t="str">
        <f t="shared" si="67"/>
        <v>mexico</v>
      </c>
      <c r="S861" t="str">
        <f>PROPER(global_freelancer_raw[[#This Row],[NAME UPPER]])</f>
        <v>Heather Saunders</v>
      </c>
      <c r="T861" t="str">
        <f t="shared" si="68"/>
        <v>Me</v>
      </c>
      <c r="U861" t="str">
        <f t="shared" si="65"/>
        <v>her Sa</v>
      </c>
      <c r="V861" t="str">
        <f t="shared" si="69"/>
        <v>60</v>
      </c>
    </row>
    <row r="862" spans="1:22" x14ac:dyDescent="0.3">
      <c r="A862" s="1" t="s">
        <v>1808</v>
      </c>
      <c r="B862" s="1" t="s">
        <v>1809</v>
      </c>
      <c r="C862" s="1" t="s">
        <v>54</v>
      </c>
      <c r="D862">
        <v>32</v>
      </c>
      <c r="E862" s="1" t="s">
        <v>137</v>
      </c>
      <c r="F862" s="1" t="s">
        <v>26</v>
      </c>
      <c r="G862" s="1" t="s">
        <v>19</v>
      </c>
      <c r="H862">
        <v>12</v>
      </c>
      <c r="I862">
        <v>40</v>
      </c>
      <c r="J862">
        <v>0</v>
      </c>
      <c r="K862" t="s">
        <v>76</v>
      </c>
      <c r="L862">
        <v>0.63</v>
      </c>
      <c r="M862" s="1" t="s">
        <v>77</v>
      </c>
      <c r="N862" s="1" t="s">
        <v>29</v>
      </c>
      <c r="O862">
        <v>15</v>
      </c>
      <c r="P862">
        <v>9</v>
      </c>
      <c r="Q862" t="str">
        <f t="shared" si="66"/>
        <v>NICHOLAS GUERRERO</v>
      </c>
      <c r="R862" t="str">
        <f t="shared" si="67"/>
        <v>canada</v>
      </c>
      <c r="S862" t="str">
        <f>PROPER(global_freelancer_raw[[#This Row],[NAME UPPER]])</f>
        <v>Nicholas Guerrero</v>
      </c>
      <c r="T862" t="str">
        <f t="shared" si="68"/>
        <v>Ca</v>
      </c>
      <c r="U862" t="str">
        <f t="shared" si="65"/>
        <v>olas G</v>
      </c>
      <c r="V862" t="str">
        <f t="shared" si="69"/>
        <v>61</v>
      </c>
    </row>
    <row r="863" spans="1:22" x14ac:dyDescent="0.3">
      <c r="A863" s="1" t="s">
        <v>1810</v>
      </c>
      <c r="B863" s="1" t="s">
        <v>1811</v>
      </c>
      <c r="C863" s="1" t="s">
        <v>106</v>
      </c>
      <c r="D863">
        <v>60</v>
      </c>
      <c r="E863" s="1" t="s">
        <v>94</v>
      </c>
      <c r="F863" s="1" t="s">
        <v>95</v>
      </c>
      <c r="G863" s="1" t="s">
        <v>49</v>
      </c>
      <c r="I863">
        <v>20</v>
      </c>
      <c r="J863">
        <v>2.2000000000000002</v>
      </c>
      <c r="K863" t="b">
        <v>0</v>
      </c>
      <c r="L863">
        <v>0.6</v>
      </c>
      <c r="M863" s="1" t="s">
        <v>72</v>
      </c>
      <c r="N863" s="1" t="s">
        <v>29</v>
      </c>
      <c r="O863">
        <v>4</v>
      </c>
      <c r="P863">
        <v>1</v>
      </c>
      <c r="Q863" t="str">
        <f t="shared" si="66"/>
        <v>CHRISTOPHER JOHNSON</v>
      </c>
      <c r="R863" t="str">
        <f t="shared" si="67"/>
        <v>japan</v>
      </c>
      <c r="S863" t="str">
        <f>PROPER(global_freelancer_raw[[#This Row],[NAME UPPER]])</f>
        <v>Christopher Johnson</v>
      </c>
      <c r="T863" t="str">
        <f t="shared" si="68"/>
        <v>Ja</v>
      </c>
      <c r="U863" t="str">
        <f t="shared" si="65"/>
        <v>stophe</v>
      </c>
      <c r="V863" t="str">
        <f t="shared" si="69"/>
        <v>62</v>
      </c>
    </row>
    <row r="864" spans="1:22" x14ac:dyDescent="0.3">
      <c r="A864" s="1" t="s">
        <v>1812</v>
      </c>
      <c r="B864" s="1" t="s">
        <v>1813</v>
      </c>
      <c r="C864" s="1" t="s">
        <v>101</v>
      </c>
      <c r="D864">
        <v>46</v>
      </c>
      <c r="E864" s="1" t="s">
        <v>148</v>
      </c>
      <c r="F864" s="1" t="s">
        <v>149</v>
      </c>
      <c r="G864" s="1" t="s">
        <v>123</v>
      </c>
      <c r="H864">
        <v>12</v>
      </c>
      <c r="I864">
        <v>50</v>
      </c>
      <c r="J864">
        <v>4.7</v>
      </c>
      <c r="K864" t="s">
        <v>76</v>
      </c>
      <c r="L864">
        <v>0.77</v>
      </c>
      <c r="M864" s="1" t="s">
        <v>51</v>
      </c>
      <c r="N864" s="1" t="s">
        <v>21</v>
      </c>
      <c r="O864">
        <v>9</v>
      </c>
      <c r="P864">
        <v>7</v>
      </c>
      <c r="Q864" t="str">
        <f t="shared" si="66"/>
        <v>STEVEN FLOWERS</v>
      </c>
      <c r="R864" t="str">
        <f t="shared" si="67"/>
        <v>egypt</v>
      </c>
      <c r="S864" t="str">
        <f>PROPER(global_freelancer_raw[[#This Row],[NAME UPPER]])</f>
        <v>Steven Flowers</v>
      </c>
      <c r="T864" t="str">
        <f t="shared" si="68"/>
        <v>Eg</v>
      </c>
      <c r="U864" t="str">
        <f t="shared" si="65"/>
        <v>en Flo</v>
      </c>
      <c r="V864" t="str">
        <f t="shared" si="69"/>
        <v>63</v>
      </c>
    </row>
    <row r="865" spans="1:22" x14ac:dyDescent="0.3">
      <c r="A865" s="1" t="s">
        <v>1814</v>
      </c>
      <c r="B865" s="1" t="s">
        <v>1815</v>
      </c>
      <c r="C865" s="1" t="s">
        <v>32</v>
      </c>
      <c r="D865">
        <v>29</v>
      </c>
      <c r="E865" s="1" t="s">
        <v>184</v>
      </c>
      <c r="F865" s="1" t="s">
        <v>185</v>
      </c>
      <c r="G865" s="1" t="s">
        <v>98</v>
      </c>
      <c r="H865">
        <v>0</v>
      </c>
      <c r="I865">
        <v>30</v>
      </c>
      <c r="J865">
        <v>0</v>
      </c>
      <c r="K865">
        <v>0</v>
      </c>
      <c r="L865">
        <v>0.63</v>
      </c>
      <c r="M865" s="1" t="s">
        <v>51</v>
      </c>
      <c r="N865" s="1" t="s">
        <v>29</v>
      </c>
      <c r="O865">
        <v>2</v>
      </c>
      <c r="P865">
        <v>1</v>
      </c>
      <c r="Q865" t="str">
        <f t="shared" si="66"/>
        <v>MARVIN WOODS III</v>
      </c>
      <c r="R865" t="str">
        <f t="shared" si="67"/>
        <v>china</v>
      </c>
      <c r="S865" t="str">
        <f>PROPER(global_freelancer_raw[[#This Row],[NAME UPPER]])</f>
        <v>Marvin Woods Iii</v>
      </c>
      <c r="T865" t="str">
        <f t="shared" si="68"/>
        <v>Ch</v>
      </c>
      <c r="U865" t="str">
        <f t="shared" si="65"/>
        <v>in Woo</v>
      </c>
      <c r="V865" t="str">
        <f t="shared" si="69"/>
        <v>64</v>
      </c>
    </row>
    <row r="866" spans="1:22" x14ac:dyDescent="0.3">
      <c r="A866" s="1" t="s">
        <v>1816</v>
      </c>
      <c r="B866" s="1" t="s">
        <v>1817</v>
      </c>
      <c r="C866" s="1" t="s">
        <v>24</v>
      </c>
      <c r="D866">
        <v>39</v>
      </c>
      <c r="E866" s="1" t="s">
        <v>116</v>
      </c>
      <c r="F866" s="1" t="s">
        <v>117</v>
      </c>
      <c r="G866" s="1" t="s">
        <v>27</v>
      </c>
      <c r="H866">
        <v>18</v>
      </c>
      <c r="I866">
        <v>20</v>
      </c>
      <c r="J866">
        <v>2.5</v>
      </c>
      <c r="K866" t="s">
        <v>76</v>
      </c>
      <c r="L866">
        <v>0.61</v>
      </c>
      <c r="M866" s="1" t="s">
        <v>72</v>
      </c>
      <c r="N866" s="1" t="s">
        <v>36</v>
      </c>
      <c r="O866">
        <v>16</v>
      </c>
      <c r="P866">
        <v>10</v>
      </c>
      <c r="Q866" t="str">
        <f t="shared" si="66"/>
        <v>MICHELLE COOK</v>
      </c>
      <c r="R866" t="str">
        <f t="shared" si="67"/>
        <v>brazil</v>
      </c>
      <c r="S866" t="str">
        <f>PROPER(global_freelancer_raw[[#This Row],[NAME UPPER]])</f>
        <v>Michelle Cook</v>
      </c>
      <c r="T866" t="str">
        <f t="shared" si="68"/>
        <v>Br</v>
      </c>
      <c r="U866" t="str">
        <f t="shared" si="65"/>
        <v>elle C</v>
      </c>
      <c r="V866" t="str">
        <f t="shared" si="69"/>
        <v>65</v>
      </c>
    </row>
    <row r="867" spans="1:22" x14ac:dyDescent="0.3">
      <c r="A867" s="1" t="s">
        <v>1818</v>
      </c>
      <c r="B867" s="1" t="s">
        <v>1819</v>
      </c>
      <c r="C867" s="1" t="s">
        <v>68</v>
      </c>
      <c r="D867">
        <v>55</v>
      </c>
      <c r="E867" s="1" t="s">
        <v>133</v>
      </c>
      <c r="F867" s="1" t="s">
        <v>134</v>
      </c>
      <c r="G867" s="1" t="s">
        <v>27</v>
      </c>
      <c r="H867">
        <v>2</v>
      </c>
      <c r="I867" t="s">
        <v>71</v>
      </c>
      <c r="J867">
        <v>3.9</v>
      </c>
      <c r="K867" t="s">
        <v>76</v>
      </c>
      <c r="L867">
        <v>0.88</v>
      </c>
      <c r="M867" s="1" t="s">
        <v>72</v>
      </c>
      <c r="N867" s="1" t="s">
        <v>36</v>
      </c>
      <c r="O867">
        <v>1</v>
      </c>
      <c r="P867">
        <v>4</v>
      </c>
      <c r="Q867" t="str">
        <f t="shared" si="66"/>
        <v>LOGAN ZAMORA</v>
      </c>
      <c r="R867" t="str">
        <f t="shared" si="67"/>
        <v>russia</v>
      </c>
      <c r="S867" t="str">
        <f>PROPER(global_freelancer_raw[[#This Row],[NAME UPPER]])</f>
        <v>Logan Zamora</v>
      </c>
      <c r="T867" t="str">
        <f t="shared" si="68"/>
        <v>Ru</v>
      </c>
      <c r="U867" t="str">
        <f t="shared" si="65"/>
        <v>n Zamo</v>
      </c>
      <c r="V867" t="str">
        <f t="shared" si="69"/>
        <v>66</v>
      </c>
    </row>
    <row r="868" spans="1:22" x14ac:dyDescent="0.3">
      <c r="A868" s="1" t="s">
        <v>1820</v>
      </c>
      <c r="B868" s="1" t="s">
        <v>1821</v>
      </c>
      <c r="C868" s="1" t="s">
        <v>54</v>
      </c>
      <c r="D868">
        <v>55</v>
      </c>
      <c r="E868" s="1" t="s">
        <v>69</v>
      </c>
      <c r="F868" s="1" t="s">
        <v>70</v>
      </c>
      <c r="G868" s="1" t="s">
        <v>87</v>
      </c>
      <c r="I868" t="s">
        <v>28</v>
      </c>
      <c r="J868">
        <v>1.2</v>
      </c>
      <c r="K868">
        <v>1</v>
      </c>
      <c r="L868">
        <v>0.69</v>
      </c>
      <c r="M868" s="1" t="s">
        <v>51</v>
      </c>
      <c r="N868" s="1" t="s">
        <v>21</v>
      </c>
      <c r="O868">
        <v>5</v>
      </c>
      <c r="P868">
        <v>2</v>
      </c>
      <c r="Q868" t="str">
        <f t="shared" si="66"/>
        <v>CASEY ROBERTS</v>
      </c>
      <c r="R868" t="str">
        <f t="shared" si="67"/>
        <v>turkey</v>
      </c>
      <c r="S868" t="str">
        <f>PROPER(global_freelancer_raw[[#This Row],[NAME UPPER]])</f>
        <v>Casey Roberts</v>
      </c>
      <c r="T868" t="str">
        <f t="shared" si="68"/>
        <v>Tu</v>
      </c>
      <c r="U868" t="str">
        <f t="shared" si="65"/>
        <v>y Robe</v>
      </c>
      <c r="V868" t="str">
        <f t="shared" si="69"/>
        <v>67</v>
      </c>
    </row>
    <row r="869" spans="1:22" x14ac:dyDescent="0.3">
      <c r="A869" s="1" t="s">
        <v>1822</v>
      </c>
      <c r="B869" s="1" t="s">
        <v>1823</v>
      </c>
      <c r="C869" s="1" t="s">
        <v>106</v>
      </c>
      <c r="D869">
        <v>40</v>
      </c>
      <c r="E869" s="1" t="s">
        <v>55</v>
      </c>
      <c r="F869" s="1" t="s">
        <v>56</v>
      </c>
      <c r="G869" s="1" t="s">
        <v>57</v>
      </c>
      <c r="H869">
        <v>2</v>
      </c>
      <c r="I869">
        <v>75</v>
      </c>
      <c r="J869">
        <v>4.5</v>
      </c>
      <c r="K869" t="s">
        <v>76</v>
      </c>
      <c r="M869" s="1" t="s">
        <v>77</v>
      </c>
      <c r="N869" s="1" t="s">
        <v>29</v>
      </c>
      <c r="O869">
        <v>2</v>
      </c>
      <c r="P869">
        <v>2</v>
      </c>
      <c r="Q869" t="str">
        <f t="shared" si="66"/>
        <v>JERRY PRICE</v>
      </c>
      <c r="R869" t="str">
        <f t="shared" si="67"/>
        <v>indonesia</v>
      </c>
      <c r="S869" t="str">
        <f>PROPER(global_freelancer_raw[[#This Row],[NAME UPPER]])</f>
        <v>Jerry Price</v>
      </c>
      <c r="T869" t="str">
        <f t="shared" si="68"/>
        <v>In</v>
      </c>
      <c r="U869" t="str">
        <f t="shared" si="65"/>
        <v>y Pric</v>
      </c>
      <c r="V869" t="str">
        <f t="shared" si="69"/>
        <v>68</v>
      </c>
    </row>
    <row r="870" spans="1:22" x14ac:dyDescent="0.3">
      <c r="A870" s="1" t="s">
        <v>1824</v>
      </c>
      <c r="B870" s="1" t="s">
        <v>1825</v>
      </c>
      <c r="C870" s="1" t="s">
        <v>16</v>
      </c>
      <c r="D870">
        <v>56</v>
      </c>
      <c r="E870" s="1" t="s">
        <v>184</v>
      </c>
      <c r="F870" s="1" t="s">
        <v>185</v>
      </c>
      <c r="G870" s="1" t="s">
        <v>82</v>
      </c>
      <c r="H870">
        <v>35</v>
      </c>
      <c r="I870" t="s">
        <v>41</v>
      </c>
      <c r="J870">
        <v>2.7</v>
      </c>
      <c r="K870" t="b">
        <v>1</v>
      </c>
      <c r="L870">
        <v>0.82</v>
      </c>
      <c r="M870" s="1" t="s">
        <v>20</v>
      </c>
      <c r="N870" s="1" t="s">
        <v>29</v>
      </c>
      <c r="O870">
        <v>15</v>
      </c>
      <c r="P870">
        <v>6</v>
      </c>
      <c r="Q870" t="str">
        <f t="shared" si="66"/>
        <v>KELLY ELLIS</v>
      </c>
      <c r="R870" t="str">
        <f t="shared" si="67"/>
        <v>china</v>
      </c>
      <c r="S870" t="str">
        <f>PROPER(global_freelancer_raw[[#This Row],[NAME UPPER]])</f>
        <v>Kelly Ellis</v>
      </c>
      <c r="T870" t="str">
        <f t="shared" si="68"/>
        <v>Ch</v>
      </c>
      <c r="U870" t="str">
        <f t="shared" si="65"/>
        <v>y Elli</v>
      </c>
      <c r="V870" t="str">
        <f t="shared" si="69"/>
        <v>69</v>
      </c>
    </row>
    <row r="871" spans="1:22" x14ac:dyDescent="0.3">
      <c r="A871" s="1" t="s">
        <v>1826</v>
      </c>
      <c r="B871" s="1" t="s">
        <v>1827</v>
      </c>
      <c r="C871" s="1" t="s">
        <v>68</v>
      </c>
      <c r="D871">
        <v>57</v>
      </c>
      <c r="E871" s="1" t="s">
        <v>188</v>
      </c>
      <c r="F871" s="1" t="s">
        <v>81</v>
      </c>
      <c r="G871" s="1" t="s">
        <v>27</v>
      </c>
      <c r="H871">
        <v>21</v>
      </c>
      <c r="I871">
        <v>75</v>
      </c>
      <c r="J871">
        <v>2</v>
      </c>
      <c r="K871" t="s">
        <v>35</v>
      </c>
      <c r="L871">
        <v>0.96</v>
      </c>
      <c r="M871" s="1" t="s">
        <v>77</v>
      </c>
      <c r="N871" s="1" t="s">
        <v>36</v>
      </c>
      <c r="O871">
        <v>15</v>
      </c>
      <c r="P871">
        <v>12</v>
      </c>
      <c r="Q871" t="str">
        <f t="shared" si="66"/>
        <v>CALEB GUERRA</v>
      </c>
      <c r="R871" t="str">
        <f t="shared" si="67"/>
        <v>mexico</v>
      </c>
      <c r="S871" t="str">
        <f>PROPER(global_freelancer_raw[[#This Row],[NAME UPPER]])</f>
        <v>Caleb Guerra</v>
      </c>
      <c r="T871" t="str">
        <f t="shared" si="68"/>
        <v>Me</v>
      </c>
      <c r="U871" t="str">
        <f t="shared" si="65"/>
        <v>b Guer</v>
      </c>
      <c r="V871" t="str">
        <f t="shared" si="69"/>
        <v>70</v>
      </c>
    </row>
    <row r="872" spans="1:22" x14ac:dyDescent="0.3">
      <c r="A872" s="1" t="s">
        <v>1828</v>
      </c>
      <c r="B872" s="1" t="s">
        <v>1829</v>
      </c>
      <c r="C872" s="1" t="s">
        <v>39</v>
      </c>
      <c r="D872">
        <v>56</v>
      </c>
      <c r="E872" s="1" t="s">
        <v>133</v>
      </c>
      <c r="F872" s="1" t="s">
        <v>134</v>
      </c>
      <c r="G872" s="1" t="s">
        <v>98</v>
      </c>
      <c r="H872">
        <v>3</v>
      </c>
      <c r="I872" t="s">
        <v>41</v>
      </c>
      <c r="J872">
        <v>1.7</v>
      </c>
      <c r="K872" t="s">
        <v>35</v>
      </c>
      <c r="L872">
        <v>0.71</v>
      </c>
      <c r="M872" s="1" t="s">
        <v>72</v>
      </c>
      <c r="N872" s="1" t="s">
        <v>29</v>
      </c>
      <c r="O872">
        <v>4</v>
      </c>
      <c r="P872">
        <v>4</v>
      </c>
      <c r="Q872" t="str">
        <f t="shared" si="66"/>
        <v>SAMANTHA NORMAN</v>
      </c>
      <c r="R872" t="str">
        <f t="shared" si="67"/>
        <v>russia</v>
      </c>
      <c r="S872" t="str">
        <f>PROPER(global_freelancer_raw[[#This Row],[NAME UPPER]])</f>
        <v>Samantha Norman</v>
      </c>
      <c r="T872" t="str">
        <f t="shared" si="68"/>
        <v>Ru</v>
      </c>
      <c r="U872" t="str">
        <f t="shared" si="65"/>
        <v>ntha N</v>
      </c>
      <c r="V872" t="str">
        <f t="shared" si="69"/>
        <v>71</v>
      </c>
    </row>
    <row r="873" spans="1:22" x14ac:dyDescent="0.3">
      <c r="A873" s="1" t="s">
        <v>1830</v>
      </c>
      <c r="B873" s="1" t="s">
        <v>1831</v>
      </c>
      <c r="C873" s="1" t="s">
        <v>16</v>
      </c>
      <c r="D873">
        <v>49</v>
      </c>
      <c r="E873" s="1" t="s">
        <v>33</v>
      </c>
      <c r="F873" s="1" t="s">
        <v>33</v>
      </c>
      <c r="G873" s="1" t="s">
        <v>27</v>
      </c>
      <c r="H873">
        <v>24</v>
      </c>
      <c r="I873" t="s">
        <v>179</v>
      </c>
      <c r="J873">
        <v>3</v>
      </c>
      <c r="K873">
        <v>1</v>
      </c>
      <c r="L873">
        <v>0.77</v>
      </c>
      <c r="M873" s="1" t="s">
        <v>77</v>
      </c>
      <c r="N873" s="1" t="s">
        <v>29</v>
      </c>
      <c r="O873">
        <v>18</v>
      </c>
      <c r="P873">
        <v>10</v>
      </c>
      <c r="Q873" t="str">
        <f t="shared" si="66"/>
        <v>SARAH CLARKE</v>
      </c>
      <c r="R873" t="str">
        <f t="shared" si="67"/>
        <v>germany</v>
      </c>
      <c r="S873" t="str">
        <f>PROPER(global_freelancer_raw[[#This Row],[NAME UPPER]])</f>
        <v>Sarah Clarke</v>
      </c>
      <c r="T873" t="str">
        <f t="shared" si="68"/>
        <v>Ge</v>
      </c>
      <c r="U873" t="str">
        <f t="shared" si="65"/>
        <v>h Clar</v>
      </c>
      <c r="V873" t="str">
        <f t="shared" si="69"/>
        <v>72</v>
      </c>
    </row>
    <row r="874" spans="1:22" x14ac:dyDescent="0.3">
      <c r="A874" s="1" t="s">
        <v>1832</v>
      </c>
      <c r="B874" s="1" t="s">
        <v>1833</v>
      </c>
      <c r="C874" s="1" t="s">
        <v>68</v>
      </c>
      <c r="D874">
        <v>26</v>
      </c>
      <c r="E874" s="1" t="s">
        <v>199</v>
      </c>
      <c r="F874" s="1" t="s">
        <v>81</v>
      </c>
      <c r="G874" s="1" t="s">
        <v>19</v>
      </c>
      <c r="I874" t="s">
        <v>179</v>
      </c>
      <c r="J874">
        <v>2.1</v>
      </c>
      <c r="K874" t="s">
        <v>76</v>
      </c>
      <c r="M874" s="1" t="s">
        <v>51</v>
      </c>
      <c r="N874" s="1" t="s">
        <v>29</v>
      </c>
      <c r="O874">
        <v>1</v>
      </c>
      <c r="P874">
        <v>1</v>
      </c>
      <c r="Q874" t="str">
        <f t="shared" si="66"/>
        <v>AARON BLAIR</v>
      </c>
      <c r="R874" t="str">
        <f t="shared" si="67"/>
        <v>spain</v>
      </c>
      <c r="S874" t="str">
        <f>PROPER(global_freelancer_raw[[#This Row],[NAME UPPER]])</f>
        <v>Aaron Blair</v>
      </c>
      <c r="T874" t="str">
        <f t="shared" si="68"/>
        <v>Sp</v>
      </c>
      <c r="U874" t="str">
        <f t="shared" si="65"/>
        <v>n Blai</v>
      </c>
      <c r="V874" t="str">
        <f t="shared" si="69"/>
        <v>73</v>
      </c>
    </row>
    <row r="875" spans="1:22" x14ac:dyDescent="0.3">
      <c r="A875" s="1" t="s">
        <v>1834</v>
      </c>
      <c r="B875" s="1" t="s">
        <v>1835</v>
      </c>
      <c r="C875" s="1" t="s">
        <v>86</v>
      </c>
      <c r="D875">
        <v>36</v>
      </c>
      <c r="E875" s="1" t="s">
        <v>121</v>
      </c>
      <c r="F875" s="1" t="s">
        <v>122</v>
      </c>
      <c r="G875" s="1" t="s">
        <v>82</v>
      </c>
      <c r="H875">
        <v>0</v>
      </c>
      <c r="I875">
        <v>75</v>
      </c>
      <c r="J875">
        <v>1.5</v>
      </c>
      <c r="L875">
        <v>0.73</v>
      </c>
      <c r="M875" s="1" t="s">
        <v>72</v>
      </c>
      <c r="N875" s="1" t="s">
        <v>65</v>
      </c>
      <c r="O875">
        <v>2</v>
      </c>
      <c r="P875">
        <v>1</v>
      </c>
      <c r="Q875" t="str">
        <f t="shared" si="66"/>
        <v>COURTNEY BURTON</v>
      </c>
      <c r="R875" t="str">
        <f t="shared" si="67"/>
        <v>south korea</v>
      </c>
      <c r="S875" t="str">
        <f>PROPER(global_freelancer_raw[[#This Row],[NAME UPPER]])</f>
        <v>Courtney Burton</v>
      </c>
      <c r="T875" t="str">
        <f t="shared" si="68"/>
        <v>So</v>
      </c>
      <c r="U875" t="str">
        <f t="shared" si="65"/>
        <v>tney B</v>
      </c>
      <c r="V875" t="str">
        <f t="shared" si="69"/>
        <v>74</v>
      </c>
    </row>
    <row r="876" spans="1:22" x14ac:dyDescent="0.3">
      <c r="A876" s="1" t="s">
        <v>1836</v>
      </c>
      <c r="B876" s="1" t="s">
        <v>1837</v>
      </c>
      <c r="C876" s="1" t="s">
        <v>101</v>
      </c>
      <c r="D876">
        <v>20</v>
      </c>
      <c r="E876" s="1" t="s">
        <v>133</v>
      </c>
      <c r="F876" s="1" t="s">
        <v>134</v>
      </c>
      <c r="G876" s="1" t="s">
        <v>40</v>
      </c>
      <c r="H876">
        <v>2</v>
      </c>
      <c r="I876" t="s">
        <v>118</v>
      </c>
      <c r="J876">
        <v>1.7</v>
      </c>
      <c r="K876" t="b">
        <v>1</v>
      </c>
      <c r="L876">
        <v>0.6</v>
      </c>
      <c r="M876" s="1" t="s">
        <v>20</v>
      </c>
      <c r="N876" s="1" t="s">
        <v>21</v>
      </c>
      <c r="O876">
        <v>4</v>
      </c>
      <c r="P876">
        <v>2</v>
      </c>
      <c r="Q876" t="str">
        <f t="shared" si="66"/>
        <v>GERALD TAYLOR</v>
      </c>
      <c r="R876" t="str">
        <f t="shared" si="67"/>
        <v>russia</v>
      </c>
      <c r="S876" t="str">
        <f>PROPER(global_freelancer_raw[[#This Row],[NAME UPPER]])</f>
        <v>Gerald Taylor</v>
      </c>
      <c r="T876" t="str">
        <f t="shared" si="68"/>
        <v>Ru</v>
      </c>
      <c r="U876" t="str">
        <f t="shared" si="65"/>
        <v>ld Tay</v>
      </c>
      <c r="V876" t="str">
        <f t="shared" si="69"/>
        <v>75</v>
      </c>
    </row>
    <row r="877" spans="1:22" x14ac:dyDescent="0.3">
      <c r="A877" s="1" t="s">
        <v>1838</v>
      </c>
      <c r="B877" s="1" t="s">
        <v>1839</v>
      </c>
      <c r="C877" s="1" t="s">
        <v>16</v>
      </c>
      <c r="D877">
        <v>40</v>
      </c>
      <c r="E877" s="1" t="s">
        <v>199</v>
      </c>
      <c r="F877" s="1" t="s">
        <v>81</v>
      </c>
      <c r="G877" s="1" t="s">
        <v>49</v>
      </c>
      <c r="J877">
        <v>1.2</v>
      </c>
      <c r="K877">
        <v>1</v>
      </c>
      <c r="L877">
        <v>0.67</v>
      </c>
      <c r="M877" s="1" t="s">
        <v>51</v>
      </c>
      <c r="N877" s="1" t="s">
        <v>65</v>
      </c>
      <c r="O877">
        <v>3</v>
      </c>
      <c r="P877">
        <v>1</v>
      </c>
      <c r="Q877" t="str">
        <f t="shared" si="66"/>
        <v>MARY WARD</v>
      </c>
      <c r="R877" t="str">
        <f t="shared" si="67"/>
        <v>spain</v>
      </c>
      <c r="S877" t="str">
        <f>PROPER(global_freelancer_raw[[#This Row],[NAME UPPER]])</f>
        <v>Mary Ward</v>
      </c>
      <c r="T877" t="str">
        <f t="shared" si="68"/>
        <v>Sp</v>
      </c>
      <c r="U877" t="str">
        <f t="shared" si="65"/>
        <v xml:space="preserve"> Ward</v>
      </c>
      <c r="V877" t="str">
        <f t="shared" si="69"/>
        <v>76</v>
      </c>
    </row>
    <row r="878" spans="1:22" x14ac:dyDescent="0.3">
      <c r="A878" s="1" t="s">
        <v>1840</v>
      </c>
      <c r="B878" s="1" t="s">
        <v>1841</v>
      </c>
      <c r="C878" s="1" t="s">
        <v>44</v>
      </c>
      <c r="D878">
        <v>30</v>
      </c>
      <c r="E878" s="1" t="s">
        <v>102</v>
      </c>
      <c r="F878" s="1" t="s">
        <v>103</v>
      </c>
      <c r="G878" s="1" t="s">
        <v>27</v>
      </c>
      <c r="H878">
        <v>6</v>
      </c>
      <c r="I878">
        <v>75</v>
      </c>
      <c r="J878">
        <v>0</v>
      </c>
      <c r="K878" t="b">
        <v>0</v>
      </c>
      <c r="L878">
        <v>0.8</v>
      </c>
      <c r="M878" s="1" t="s">
        <v>51</v>
      </c>
      <c r="N878" s="1" t="s">
        <v>21</v>
      </c>
      <c r="O878">
        <v>7</v>
      </c>
      <c r="P878">
        <v>8</v>
      </c>
      <c r="Q878" t="str">
        <f t="shared" si="66"/>
        <v>MRS. LISA BEARD DVM</v>
      </c>
      <c r="R878" t="str">
        <f t="shared" si="67"/>
        <v>india</v>
      </c>
      <c r="S878" t="str">
        <f>PROPER(global_freelancer_raw[[#This Row],[NAME UPPER]])</f>
        <v>Mrs. Lisa Beard Dvm</v>
      </c>
      <c r="T878" t="str">
        <f t="shared" si="68"/>
        <v>In</v>
      </c>
      <c r="U878" t="str">
        <f t="shared" si="65"/>
        <v xml:space="preserve"> Lisa </v>
      </c>
      <c r="V878" t="str">
        <f t="shared" si="69"/>
        <v>77</v>
      </c>
    </row>
    <row r="879" spans="1:22" x14ac:dyDescent="0.3">
      <c r="A879" s="1" t="s">
        <v>1842</v>
      </c>
      <c r="B879" s="1" t="s">
        <v>1843</v>
      </c>
      <c r="C879" s="1" t="s">
        <v>106</v>
      </c>
      <c r="D879">
        <v>51</v>
      </c>
      <c r="E879" s="1" t="s">
        <v>25</v>
      </c>
      <c r="F879" s="1" t="s">
        <v>26</v>
      </c>
      <c r="G879" s="1" t="s">
        <v>34</v>
      </c>
      <c r="H879">
        <v>21</v>
      </c>
      <c r="I879">
        <v>20</v>
      </c>
      <c r="K879" t="s">
        <v>83</v>
      </c>
      <c r="M879" s="1" t="s">
        <v>20</v>
      </c>
      <c r="N879" s="1" t="s">
        <v>36</v>
      </c>
      <c r="O879">
        <v>14</v>
      </c>
      <c r="P879">
        <v>7</v>
      </c>
      <c r="Q879" t="str">
        <f t="shared" si="66"/>
        <v>LARRY WALLACE</v>
      </c>
      <c r="R879" t="str">
        <f t="shared" si="67"/>
        <v>australia</v>
      </c>
      <c r="S879" t="str">
        <f>PROPER(global_freelancer_raw[[#This Row],[NAME UPPER]])</f>
        <v>Larry Wallace</v>
      </c>
      <c r="T879" t="str">
        <f t="shared" si="68"/>
        <v>Au</v>
      </c>
      <c r="U879" t="str">
        <f t="shared" si="65"/>
        <v>y Wall</v>
      </c>
      <c r="V879" t="str">
        <f t="shared" si="69"/>
        <v>78</v>
      </c>
    </row>
    <row r="880" spans="1:22" x14ac:dyDescent="0.3">
      <c r="A880" s="1" t="s">
        <v>1844</v>
      </c>
      <c r="B880" s="1" t="s">
        <v>1845</v>
      </c>
      <c r="C880" s="1" t="s">
        <v>106</v>
      </c>
      <c r="D880">
        <v>46</v>
      </c>
      <c r="E880" s="1" t="s">
        <v>64</v>
      </c>
      <c r="F880" s="1" t="s">
        <v>26</v>
      </c>
      <c r="G880" s="1" t="s">
        <v>82</v>
      </c>
      <c r="H880">
        <v>24</v>
      </c>
      <c r="I880">
        <v>40</v>
      </c>
      <c r="J880">
        <v>3.3</v>
      </c>
      <c r="K880">
        <v>1</v>
      </c>
      <c r="L880">
        <v>0.87</v>
      </c>
      <c r="M880" s="1" t="s">
        <v>20</v>
      </c>
      <c r="N880" s="1" t="s">
        <v>29</v>
      </c>
      <c r="O880">
        <v>19</v>
      </c>
      <c r="P880">
        <v>8</v>
      </c>
      <c r="Q880" t="str">
        <f t="shared" si="66"/>
        <v>JEREMIAH THOMPSON</v>
      </c>
      <c r="R880" t="str">
        <f t="shared" si="67"/>
        <v>us</v>
      </c>
      <c r="S880" t="str">
        <f>PROPER(global_freelancer_raw[[#This Row],[NAME UPPER]])</f>
        <v>Jeremiah Thompson</v>
      </c>
      <c r="T880" t="str">
        <f t="shared" si="68"/>
        <v>US</v>
      </c>
      <c r="U880" t="str">
        <f t="shared" si="65"/>
        <v>miah T</v>
      </c>
      <c r="V880" t="str">
        <f t="shared" si="69"/>
        <v>79</v>
      </c>
    </row>
    <row r="881" spans="1:22" x14ac:dyDescent="0.3">
      <c r="A881" s="1" t="s">
        <v>1846</v>
      </c>
      <c r="B881" s="1" t="s">
        <v>1847</v>
      </c>
      <c r="C881" s="1" t="s">
        <v>24</v>
      </c>
      <c r="D881">
        <v>25</v>
      </c>
      <c r="E881" s="1" t="s">
        <v>121</v>
      </c>
      <c r="F881" s="1" t="s">
        <v>122</v>
      </c>
      <c r="G881" s="1" t="s">
        <v>49</v>
      </c>
      <c r="H881">
        <v>6</v>
      </c>
      <c r="I881">
        <v>20</v>
      </c>
      <c r="J881">
        <v>2.1</v>
      </c>
      <c r="K881" t="s">
        <v>168</v>
      </c>
      <c r="M881" s="1" t="s">
        <v>77</v>
      </c>
      <c r="N881" s="1" t="s">
        <v>21</v>
      </c>
      <c r="O881">
        <v>9</v>
      </c>
      <c r="P881">
        <v>8</v>
      </c>
      <c r="Q881" t="str">
        <f t="shared" si="66"/>
        <v>MRS. JESSICA WILLIAMS DVM</v>
      </c>
      <c r="R881" t="str">
        <f t="shared" si="67"/>
        <v>south korea</v>
      </c>
      <c r="S881" t="str">
        <f>PROPER(global_freelancer_raw[[#This Row],[NAME UPPER]])</f>
        <v>Mrs. Jessica Williams Dvm</v>
      </c>
      <c r="T881" t="str">
        <f t="shared" si="68"/>
        <v>So</v>
      </c>
      <c r="U881" t="str">
        <f t="shared" si="65"/>
        <v xml:space="preserve"> Jessi</v>
      </c>
      <c r="V881" t="str">
        <f t="shared" si="69"/>
        <v>80</v>
      </c>
    </row>
    <row r="882" spans="1:22" x14ac:dyDescent="0.3">
      <c r="A882" s="1" t="s">
        <v>1848</v>
      </c>
      <c r="B882" s="1" t="s">
        <v>1849</v>
      </c>
      <c r="C882" s="1" t="s">
        <v>32</v>
      </c>
      <c r="D882">
        <v>53</v>
      </c>
      <c r="E882" s="1" t="s">
        <v>47</v>
      </c>
      <c r="F882" s="1" t="s">
        <v>48</v>
      </c>
      <c r="G882" s="1" t="s">
        <v>40</v>
      </c>
      <c r="H882">
        <v>32</v>
      </c>
      <c r="I882">
        <v>50</v>
      </c>
      <c r="K882">
        <v>1</v>
      </c>
      <c r="M882" s="1" t="s">
        <v>72</v>
      </c>
      <c r="N882" s="1" t="s">
        <v>65</v>
      </c>
      <c r="O882">
        <v>14</v>
      </c>
      <c r="P882">
        <v>4</v>
      </c>
      <c r="Q882" t="str">
        <f t="shared" si="66"/>
        <v>MARTIN MORENO</v>
      </c>
      <c r="R882" t="str">
        <f t="shared" si="67"/>
        <v>netherlands</v>
      </c>
      <c r="S882" t="str">
        <f>PROPER(global_freelancer_raw[[#This Row],[NAME UPPER]])</f>
        <v>Martin Moreno</v>
      </c>
      <c r="T882" t="str">
        <f t="shared" si="68"/>
        <v>Ne</v>
      </c>
      <c r="U882" t="str">
        <f t="shared" si="65"/>
        <v>in Mor</v>
      </c>
      <c r="V882" t="str">
        <f t="shared" si="69"/>
        <v>81</v>
      </c>
    </row>
    <row r="883" spans="1:22" x14ac:dyDescent="0.3">
      <c r="A883" s="1" t="s">
        <v>1850</v>
      </c>
      <c r="B883" s="1" t="s">
        <v>1851</v>
      </c>
      <c r="C883" s="1" t="s">
        <v>24</v>
      </c>
      <c r="D883">
        <v>50</v>
      </c>
      <c r="E883" s="1" t="s">
        <v>148</v>
      </c>
      <c r="F883" s="1" t="s">
        <v>149</v>
      </c>
      <c r="G883" s="1" t="s">
        <v>27</v>
      </c>
      <c r="H883">
        <v>31</v>
      </c>
      <c r="I883" t="s">
        <v>28</v>
      </c>
      <c r="J883">
        <v>2.9</v>
      </c>
      <c r="K883" t="s">
        <v>83</v>
      </c>
      <c r="L883">
        <v>0.89</v>
      </c>
      <c r="M883" s="1" t="s">
        <v>20</v>
      </c>
      <c r="N883" s="1" t="s">
        <v>29</v>
      </c>
      <c r="O883">
        <v>17</v>
      </c>
      <c r="P883">
        <v>6</v>
      </c>
      <c r="Q883" t="str">
        <f t="shared" si="66"/>
        <v>YOLANDA PROCTOR</v>
      </c>
      <c r="R883" t="str">
        <f t="shared" si="67"/>
        <v>egypt</v>
      </c>
      <c r="S883" t="str">
        <f>PROPER(global_freelancer_raw[[#This Row],[NAME UPPER]])</f>
        <v>Yolanda Proctor</v>
      </c>
      <c r="T883" t="str">
        <f t="shared" si="68"/>
        <v>Eg</v>
      </c>
      <c r="U883" t="str">
        <f t="shared" si="65"/>
        <v>nda Pr</v>
      </c>
      <c r="V883" t="str">
        <f t="shared" si="69"/>
        <v>82</v>
      </c>
    </row>
    <row r="884" spans="1:22" x14ac:dyDescent="0.3">
      <c r="A884" s="1" t="s">
        <v>1852</v>
      </c>
      <c r="B884" s="1" t="s">
        <v>1853</v>
      </c>
      <c r="C884" s="1" t="s">
        <v>32</v>
      </c>
      <c r="D884">
        <v>45</v>
      </c>
      <c r="E884" s="1" t="s">
        <v>121</v>
      </c>
      <c r="F884" s="1" t="s">
        <v>122</v>
      </c>
      <c r="G884" s="1" t="s">
        <v>49</v>
      </c>
      <c r="I884" t="s">
        <v>323</v>
      </c>
      <c r="J884">
        <v>3.3</v>
      </c>
      <c r="K884" t="b">
        <v>1</v>
      </c>
      <c r="L884">
        <v>0.93</v>
      </c>
      <c r="M884" s="1" t="s">
        <v>20</v>
      </c>
      <c r="N884" s="1" t="s">
        <v>36</v>
      </c>
      <c r="O884">
        <v>4</v>
      </c>
      <c r="P884">
        <v>1</v>
      </c>
      <c r="Q884" t="str">
        <f t="shared" si="66"/>
        <v>ALLEN TURNER</v>
      </c>
      <c r="R884" t="str">
        <f t="shared" si="67"/>
        <v>south korea</v>
      </c>
      <c r="S884" t="str">
        <f>PROPER(global_freelancer_raw[[#This Row],[NAME UPPER]])</f>
        <v>Allen Turner</v>
      </c>
      <c r="T884" t="str">
        <f t="shared" si="68"/>
        <v>So</v>
      </c>
      <c r="U884" t="str">
        <f t="shared" si="65"/>
        <v>n Turn</v>
      </c>
      <c r="V884" t="str">
        <f t="shared" si="69"/>
        <v>83</v>
      </c>
    </row>
    <row r="885" spans="1:22" x14ac:dyDescent="0.3">
      <c r="A885" s="1" t="s">
        <v>1854</v>
      </c>
      <c r="B885" s="1" t="s">
        <v>1855</v>
      </c>
      <c r="C885" s="1" t="s">
        <v>39</v>
      </c>
      <c r="D885">
        <v>48</v>
      </c>
      <c r="E885" s="1" t="s">
        <v>137</v>
      </c>
      <c r="F885" s="1" t="s">
        <v>26</v>
      </c>
      <c r="G885" s="1" t="s">
        <v>87</v>
      </c>
      <c r="H885">
        <v>24</v>
      </c>
      <c r="I885">
        <v>100</v>
      </c>
      <c r="J885">
        <v>4.8</v>
      </c>
      <c r="K885">
        <v>1</v>
      </c>
      <c r="L885">
        <v>0.84</v>
      </c>
      <c r="M885" s="1" t="s">
        <v>72</v>
      </c>
      <c r="N885" s="1" t="s">
        <v>21</v>
      </c>
      <c r="O885">
        <v>12</v>
      </c>
      <c r="P885">
        <v>13</v>
      </c>
      <c r="Q885" t="str">
        <f t="shared" si="66"/>
        <v>BETH HUFF</v>
      </c>
      <c r="R885" t="str">
        <f t="shared" si="67"/>
        <v>canada</v>
      </c>
      <c r="S885" t="str">
        <f>PROPER(global_freelancer_raw[[#This Row],[NAME UPPER]])</f>
        <v>Beth Huff</v>
      </c>
      <c r="T885" t="str">
        <f t="shared" si="68"/>
        <v>Ca</v>
      </c>
      <c r="U885" t="str">
        <f t="shared" si="65"/>
        <v xml:space="preserve"> Huff</v>
      </c>
      <c r="V885" t="str">
        <f t="shared" si="69"/>
        <v>84</v>
      </c>
    </row>
    <row r="886" spans="1:22" x14ac:dyDescent="0.3">
      <c r="A886" s="1" t="s">
        <v>1856</v>
      </c>
      <c r="B886" s="1" t="s">
        <v>1857</v>
      </c>
      <c r="C886" s="1" t="s">
        <v>68</v>
      </c>
      <c r="D886">
        <v>30</v>
      </c>
      <c r="E886" s="1" t="s">
        <v>55</v>
      </c>
      <c r="F886" s="1" t="s">
        <v>56</v>
      </c>
      <c r="G886" s="1" t="s">
        <v>98</v>
      </c>
      <c r="I886" t="s">
        <v>238</v>
      </c>
      <c r="J886">
        <v>4.5</v>
      </c>
      <c r="L886">
        <v>0.78</v>
      </c>
      <c r="M886" s="1" t="s">
        <v>20</v>
      </c>
      <c r="N886" s="1" t="s">
        <v>21</v>
      </c>
      <c r="O886">
        <v>5</v>
      </c>
      <c r="P886">
        <v>1</v>
      </c>
      <c r="Q886" t="str">
        <f t="shared" si="66"/>
        <v>JOHN MCKINNEY</v>
      </c>
      <c r="R886" t="str">
        <f t="shared" si="67"/>
        <v>indonesia</v>
      </c>
      <c r="S886" t="str">
        <f>PROPER(global_freelancer_raw[[#This Row],[NAME UPPER]])</f>
        <v>John Mckinney</v>
      </c>
      <c r="T886" t="str">
        <f t="shared" si="68"/>
        <v>In</v>
      </c>
      <c r="U886" t="str">
        <f t="shared" si="65"/>
        <v xml:space="preserve"> Mckin</v>
      </c>
      <c r="V886" t="str">
        <f t="shared" si="69"/>
        <v>85</v>
      </c>
    </row>
    <row r="887" spans="1:22" x14ac:dyDescent="0.3">
      <c r="A887" s="1" t="s">
        <v>1858</v>
      </c>
      <c r="B887" s="1" t="s">
        <v>576</v>
      </c>
      <c r="C887" s="1" t="s">
        <v>39</v>
      </c>
      <c r="D887">
        <v>33</v>
      </c>
      <c r="E887" s="1" t="s">
        <v>47</v>
      </c>
      <c r="F887" s="1" t="s">
        <v>48</v>
      </c>
      <c r="G887" s="1" t="s">
        <v>82</v>
      </c>
      <c r="H887">
        <v>6</v>
      </c>
      <c r="I887" t="s">
        <v>71</v>
      </c>
      <c r="J887">
        <v>3.1</v>
      </c>
      <c r="K887" t="s">
        <v>168</v>
      </c>
      <c r="L887">
        <v>0.9</v>
      </c>
      <c r="M887" s="1" t="s">
        <v>20</v>
      </c>
      <c r="N887" s="1" t="s">
        <v>21</v>
      </c>
      <c r="O887">
        <v>8</v>
      </c>
      <c r="P887">
        <v>8</v>
      </c>
      <c r="Q887" t="str">
        <f t="shared" si="66"/>
        <v>SARAH HO</v>
      </c>
      <c r="R887" t="str">
        <f t="shared" si="67"/>
        <v>netherlands</v>
      </c>
      <c r="S887" t="str">
        <f>PROPER(global_freelancer_raw[[#This Row],[NAME UPPER]])</f>
        <v>Sarah Ho</v>
      </c>
      <c r="T887" t="str">
        <f t="shared" si="68"/>
        <v>Ne</v>
      </c>
      <c r="U887" t="str">
        <f t="shared" si="65"/>
        <v>h Ho</v>
      </c>
      <c r="V887" t="str">
        <f t="shared" si="69"/>
        <v>86</v>
      </c>
    </row>
    <row r="888" spans="1:22" x14ac:dyDescent="0.3">
      <c r="A888" s="1" t="s">
        <v>1859</v>
      </c>
      <c r="B888" s="1" t="s">
        <v>1860</v>
      </c>
      <c r="C888" s="1" t="s">
        <v>39</v>
      </c>
      <c r="D888">
        <v>50</v>
      </c>
      <c r="E888" s="1" t="s">
        <v>75</v>
      </c>
      <c r="F888" s="1" t="s">
        <v>26</v>
      </c>
      <c r="G888" s="1" t="s">
        <v>98</v>
      </c>
      <c r="H888">
        <v>11</v>
      </c>
      <c r="J888">
        <v>4.9000000000000004</v>
      </c>
      <c r="K888">
        <v>1</v>
      </c>
      <c r="L888">
        <v>0.88</v>
      </c>
      <c r="M888" s="1" t="s">
        <v>77</v>
      </c>
      <c r="N888" s="1" t="s">
        <v>29</v>
      </c>
      <c r="O888">
        <v>6</v>
      </c>
      <c r="P888">
        <v>13</v>
      </c>
      <c r="Q888" t="str">
        <f t="shared" si="66"/>
        <v>LINDSEY WANG</v>
      </c>
      <c r="R888" t="str">
        <f t="shared" si="67"/>
        <v>uk</v>
      </c>
      <c r="S888" t="str">
        <f>PROPER(global_freelancer_raw[[#This Row],[NAME UPPER]])</f>
        <v>Lindsey Wang</v>
      </c>
      <c r="T888" t="str">
        <f t="shared" si="68"/>
        <v>UK</v>
      </c>
      <c r="U888" t="str">
        <f t="shared" si="65"/>
        <v>sey Wa</v>
      </c>
      <c r="V888" t="str">
        <f t="shared" si="69"/>
        <v>87</v>
      </c>
    </row>
    <row r="889" spans="1:22" x14ac:dyDescent="0.3">
      <c r="A889" s="1" t="s">
        <v>1861</v>
      </c>
      <c r="B889" s="1" t="s">
        <v>1862</v>
      </c>
      <c r="C889" s="1" t="s">
        <v>86</v>
      </c>
      <c r="D889">
        <v>24</v>
      </c>
      <c r="E889" s="1" t="s">
        <v>55</v>
      </c>
      <c r="F889" s="1" t="s">
        <v>56</v>
      </c>
      <c r="G889" s="1" t="s">
        <v>57</v>
      </c>
      <c r="I889" t="s">
        <v>130</v>
      </c>
      <c r="J889">
        <v>0</v>
      </c>
      <c r="K889">
        <v>0</v>
      </c>
      <c r="L889">
        <v>0.76</v>
      </c>
      <c r="M889" s="1" t="s">
        <v>51</v>
      </c>
      <c r="N889" s="1" t="s">
        <v>65</v>
      </c>
      <c r="O889">
        <v>3</v>
      </c>
      <c r="P889">
        <v>1</v>
      </c>
      <c r="Q889" t="str">
        <f t="shared" si="66"/>
        <v>MARGARET SCHWARTZ</v>
      </c>
      <c r="R889" t="str">
        <f t="shared" si="67"/>
        <v>indonesia</v>
      </c>
      <c r="S889" t="str">
        <f>PROPER(global_freelancer_raw[[#This Row],[NAME UPPER]])</f>
        <v>Margaret Schwartz</v>
      </c>
      <c r="T889" t="str">
        <f t="shared" si="68"/>
        <v>In</v>
      </c>
      <c r="U889" t="str">
        <f t="shared" si="65"/>
        <v>aret S</v>
      </c>
      <c r="V889" t="str">
        <f t="shared" si="69"/>
        <v>88</v>
      </c>
    </row>
    <row r="890" spans="1:22" x14ac:dyDescent="0.3">
      <c r="A890" s="1" t="s">
        <v>1863</v>
      </c>
      <c r="B890" s="1" t="s">
        <v>1864</v>
      </c>
      <c r="C890" s="1" t="s">
        <v>32</v>
      </c>
      <c r="D890">
        <v>38</v>
      </c>
      <c r="E890" s="1" t="s">
        <v>17</v>
      </c>
      <c r="F890" s="1" t="s">
        <v>18</v>
      </c>
      <c r="G890" s="1" t="s">
        <v>40</v>
      </c>
      <c r="H890">
        <v>14</v>
      </c>
      <c r="I890">
        <v>75</v>
      </c>
      <c r="J890">
        <v>1.5</v>
      </c>
      <c r="K890" t="s">
        <v>35</v>
      </c>
      <c r="L890">
        <v>0.62</v>
      </c>
      <c r="M890" s="1" t="s">
        <v>51</v>
      </c>
      <c r="N890" s="1" t="s">
        <v>65</v>
      </c>
      <c r="O890">
        <v>11</v>
      </c>
      <c r="P890">
        <v>12</v>
      </c>
      <c r="Q890" t="str">
        <f t="shared" si="66"/>
        <v>KYLE RAY</v>
      </c>
      <c r="R890" t="str">
        <f t="shared" si="67"/>
        <v>italy</v>
      </c>
      <c r="S890" t="str">
        <f>PROPER(global_freelancer_raw[[#This Row],[NAME UPPER]])</f>
        <v>Kyle Ray</v>
      </c>
      <c r="T890" t="str">
        <f t="shared" si="68"/>
        <v>It</v>
      </c>
      <c r="U890" t="str">
        <f t="shared" si="65"/>
        <v xml:space="preserve"> Ray</v>
      </c>
      <c r="V890" t="str">
        <f t="shared" si="69"/>
        <v>89</v>
      </c>
    </row>
    <row r="891" spans="1:22" x14ac:dyDescent="0.3">
      <c r="A891" s="1" t="s">
        <v>1865</v>
      </c>
      <c r="B891" s="1" t="s">
        <v>1866</v>
      </c>
      <c r="C891" s="1" t="s">
        <v>68</v>
      </c>
      <c r="D891">
        <v>56</v>
      </c>
      <c r="E891" s="1" t="s">
        <v>94</v>
      </c>
      <c r="F891" s="1" t="s">
        <v>95</v>
      </c>
      <c r="G891" s="1" t="s">
        <v>98</v>
      </c>
      <c r="H891">
        <v>2</v>
      </c>
      <c r="I891" t="s">
        <v>179</v>
      </c>
      <c r="J891">
        <v>2.4</v>
      </c>
      <c r="K891" t="s">
        <v>35</v>
      </c>
      <c r="M891" s="1" t="s">
        <v>51</v>
      </c>
      <c r="N891" s="1" t="s">
        <v>21</v>
      </c>
      <c r="O891">
        <v>3</v>
      </c>
      <c r="P891">
        <v>1</v>
      </c>
      <c r="Q891" t="str">
        <f t="shared" si="66"/>
        <v>ISAAC HEBERT</v>
      </c>
      <c r="R891" t="str">
        <f t="shared" si="67"/>
        <v>japan</v>
      </c>
      <c r="S891" t="str">
        <f>PROPER(global_freelancer_raw[[#This Row],[NAME UPPER]])</f>
        <v>Isaac Hebert</v>
      </c>
      <c r="T891" t="str">
        <f t="shared" si="68"/>
        <v>Ja</v>
      </c>
      <c r="U891" t="str">
        <f t="shared" si="65"/>
        <v>c Hebe</v>
      </c>
      <c r="V891" t="str">
        <f t="shared" si="69"/>
        <v>90</v>
      </c>
    </row>
    <row r="892" spans="1:22" x14ac:dyDescent="0.3">
      <c r="A892" s="1" t="s">
        <v>1867</v>
      </c>
      <c r="B892" s="1" t="s">
        <v>1868</v>
      </c>
      <c r="C892" s="1" t="s">
        <v>16</v>
      </c>
      <c r="D892">
        <v>41</v>
      </c>
      <c r="E892" s="1" t="s">
        <v>133</v>
      </c>
      <c r="F892" s="1" t="s">
        <v>134</v>
      </c>
      <c r="G892" s="1" t="s">
        <v>98</v>
      </c>
      <c r="H892">
        <v>2</v>
      </c>
      <c r="I892" t="s">
        <v>28</v>
      </c>
      <c r="J892">
        <v>4.5</v>
      </c>
      <c r="K892" t="s">
        <v>35</v>
      </c>
      <c r="L892">
        <v>75</v>
      </c>
      <c r="M892" s="1" t="s">
        <v>51</v>
      </c>
      <c r="N892" s="1" t="s">
        <v>36</v>
      </c>
      <c r="O892">
        <v>2</v>
      </c>
      <c r="P892">
        <v>1</v>
      </c>
      <c r="Q892" t="str">
        <f t="shared" si="66"/>
        <v>MICHELE JONES</v>
      </c>
      <c r="R892" t="str">
        <f t="shared" si="67"/>
        <v>russia</v>
      </c>
      <c r="S892" t="str">
        <f>PROPER(global_freelancer_raw[[#This Row],[NAME UPPER]])</f>
        <v>Michele Jones</v>
      </c>
      <c r="T892" t="str">
        <f t="shared" si="68"/>
        <v>Ru</v>
      </c>
      <c r="U892" t="str">
        <f t="shared" si="65"/>
        <v>ele Jo</v>
      </c>
      <c r="V892" t="str">
        <f t="shared" si="69"/>
        <v>91</v>
      </c>
    </row>
    <row r="893" spans="1:22" x14ac:dyDescent="0.3">
      <c r="A893" s="1" t="s">
        <v>1869</v>
      </c>
      <c r="B893" s="1" t="s">
        <v>1870</v>
      </c>
      <c r="C893" s="1" t="s">
        <v>106</v>
      </c>
      <c r="E893" s="1" t="s">
        <v>17</v>
      </c>
      <c r="F893" s="1" t="s">
        <v>18</v>
      </c>
      <c r="G893" s="1" t="s">
        <v>82</v>
      </c>
      <c r="H893">
        <v>11</v>
      </c>
      <c r="I893" t="s">
        <v>28</v>
      </c>
      <c r="J893">
        <v>2.5</v>
      </c>
      <c r="K893" t="s">
        <v>76</v>
      </c>
      <c r="L893">
        <v>80</v>
      </c>
      <c r="M893" s="1" t="s">
        <v>20</v>
      </c>
      <c r="N893" s="1" t="s">
        <v>36</v>
      </c>
      <c r="O893">
        <v>13</v>
      </c>
      <c r="P893">
        <v>6</v>
      </c>
      <c r="Q893" t="str">
        <f t="shared" si="66"/>
        <v>AUSTIN ALLEN</v>
      </c>
      <c r="R893" t="str">
        <f t="shared" si="67"/>
        <v>italy</v>
      </c>
      <c r="S893" t="str">
        <f>PROPER(global_freelancer_raw[[#This Row],[NAME UPPER]])</f>
        <v>Austin Allen</v>
      </c>
      <c r="T893" t="str">
        <f t="shared" si="68"/>
        <v>It</v>
      </c>
      <c r="U893" t="str">
        <f t="shared" si="65"/>
        <v>in All</v>
      </c>
      <c r="V893" t="str">
        <f t="shared" si="69"/>
        <v>92</v>
      </c>
    </row>
    <row r="894" spans="1:22" x14ac:dyDescent="0.3">
      <c r="A894" s="1" t="s">
        <v>1871</v>
      </c>
      <c r="B894" s="1" t="s">
        <v>1872</v>
      </c>
      <c r="C894" s="1" t="s">
        <v>16</v>
      </c>
      <c r="D894">
        <v>42</v>
      </c>
      <c r="E894" s="1" t="s">
        <v>33</v>
      </c>
      <c r="F894" s="1" t="s">
        <v>33</v>
      </c>
      <c r="G894" s="1" t="s">
        <v>34</v>
      </c>
      <c r="H894">
        <v>13</v>
      </c>
      <c r="I894">
        <v>30</v>
      </c>
      <c r="J894">
        <v>3.3</v>
      </c>
      <c r="L894">
        <v>0.63</v>
      </c>
      <c r="M894" s="1" t="s">
        <v>72</v>
      </c>
      <c r="N894" s="1" t="s">
        <v>65</v>
      </c>
      <c r="O894">
        <v>10</v>
      </c>
      <c r="P894">
        <v>12</v>
      </c>
      <c r="Q894" t="str">
        <f t="shared" si="66"/>
        <v>HALEY CASTRO</v>
      </c>
      <c r="R894" t="str">
        <f t="shared" si="67"/>
        <v>germany</v>
      </c>
      <c r="S894" t="str">
        <f>PROPER(global_freelancer_raw[[#This Row],[NAME UPPER]])</f>
        <v>Haley Castro</v>
      </c>
      <c r="T894" t="str">
        <f t="shared" si="68"/>
        <v>Ge</v>
      </c>
      <c r="U894" t="str">
        <f t="shared" si="65"/>
        <v>y Cast</v>
      </c>
      <c r="V894" t="str">
        <f t="shared" si="69"/>
        <v>93</v>
      </c>
    </row>
    <row r="895" spans="1:22" x14ac:dyDescent="0.3">
      <c r="A895" s="1" t="s">
        <v>1873</v>
      </c>
      <c r="B895" s="1" t="s">
        <v>1874</v>
      </c>
      <c r="C895" s="1" t="s">
        <v>106</v>
      </c>
      <c r="D895">
        <v>26</v>
      </c>
      <c r="E895" s="1" t="s">
        <v>102</v>
      </c>
      <c r="F895" s="1" t="s">
        <v>103</v>
      </c>
      <c r="G895" s="1" t="s">
        <v>19</v>
      </c>
      <c r="H895">
        <v>7</v>
      </c>
      <c r="I895">
        <v>75</v>
      </c>
      <c r="J895">
        <v>3</v>
      </c>
      <c r="L895">
        <v>0.84</v>
      </c>
      <c r="M895" s="1" t="s">
        <v>72</v>
      </c>
      <c r="N895" s="1" t="s">
        <v>36</v>
      </c>
      <c r="O895">
        <v>11</v>
      </c>
      <c r="P895">
        <v>5</v>
      </c>
      <c r="Q895" t="str">
        <f t="shared" si="66"/>
        <v>DAVID ARMSTRONG</v>
      </c>
      <c r="R895" t="str">
        <f t="shared" si="67"/>
        <v>india</v>
      </c>
      <c r="S895" t="str">
        <f>PROPER(global_freelancer_raw[[#This Row],[NAME UPPER]])</f>
        <v>David Armstrong</v>
      </c>
      <c r="T895" t="str">
        <f t="shared" si="68"/>
        <v>In</v>
      </c>
      <c r="U895" t="str">
        <f t="shared" si="65"/>
        <v>d Arms</v>
      </c>
      <c r="V895" t="str">
        <f t="shared" si="69"/>
        <v>94</v>
      </c>
    </row>
    <row r="896" spans="1:22" x14ac:dyDescent="0.3">
      <c r="A896" s="1" t="s">
        <v>1875</v>
      </c>
      <c r="B896" s="1" t="s">
        <v>1876</v>
      </c>
      <c r="C896" s="1" t="s">
        <v>16</v>
      </c>
      <c r="D896">
        <v>44</v>
      </c>
      <c r="E896" s="1" t="s">
        <v>137</v>
      </c>
      <c r="F896" s="1" t="s">
        <v>26</v>
      </c>
      <c r="G896" s="1" t="s">
        <v>87</v>
      </c>
      <c r="H896">
        <v>25</v>
      </c>
      <c r="I896">
        <v>75</v>
      </c>
      <c r="J896">
        <v>2.7</v>
      </c>
      <c r="K896">
        <v>1</v>
      </c>
      <c r="L896">
        <v>78</v>
      </c>
      <c r="M896" s="1" t="s">
        <v>77</v>
      </c>
      <c r="N896" s="1" t="s">
        <v>65</v>
      </c>
      <c r="O896">
        <v>15</v>
      </c>
      <c r="P896">
        <v>8</v>
      </c>
      <c r="Q896" t="str">
        <f t="shared" si="66"/>
        <v>WENDY MITCHELL</v>
      </c>
      <c r="R896" t="str">
        <f t="shared" si="67"/>
        <v>canada</v>
      </c>
      <c r="S896" t="str">
        <f>PROPER(global_freelancer_raw[[#This Row],[NAME UPPER]])</f>
        <v>Wendy Mitchell</v>
      </c>
      <c r="T896" t="str">
        <f t="shared" si="68"/>
        <v>Ca</v>
      </c>
      <c r="U896" t="str">
        <f t="shared" si="65"/>
        <v>y Mitc</v>
      </c>
      <c r="V896" t="str">
        <f t="shared" si="69"/>
        <v>95</v>
      </c>
    </row>
    <row r="897" spans="1:22" x14ac:dyDescent="0.3">
      <c r="A897" s="1" t="s">
        <v>1877</v>
      </c>
      <c r="B897" s="1" t="s">
        <v>1878</v>
      </c>
      <c r="C897" s="1" t="s">
        <v>68</v>
      </c>
      <c r="D897">
        <v>46</v>
      </c>
      <c r="E897" s="1" t="s">
        <v>137</v>
      </c>
      <c r="F897" s="1" t="s">
        <v>26</v>
      </c>
      <c r="G897" s="1" t="s">
        <v>34</v>
      </c>
      <c r="H897">
        <v>20</v>
      </c>
      <c r="I897" t="s">
        <v>130</v>
      </c>
      <c r="J897">
        <v>1.2</v>
      </c>
      <c r="K897" t="b">
        <v>0</v>
      </c>
      <c r="L897">
        <v>0.74</v>
      </c>
      <c r="M897" s="1" t="s">
        <v>77</v>
      </c>
      <c r="N897" s="1" t="s">
        <v>21</v>
      </c>
      <c r="O897">
        <v>12</v>
      </c>
      <c r="P897">
        <v>15</v>
      </c>
      <c r="Q897" t="str">
        <f t="shared" si="66"/>
        <v>ANTHONY HERNANDEZ</v>
      </c>
      <c r="R897" t="str">
        <f t="shared" si="67"/>
        <v>canada</v>
      </c>
      <c r="S897" t="str">
        <f>PROPER(global_freelancer_raw[[#This Row],[NAME UPPER]])</f>
        <v>Anthony Hernandez</v>
      </c>
      <c r="T897" t="str">
        <f t="shared" si="68"/>
        <v>Ca</v>
      </c>
      <c r="U897" t="str">
        <f t="shared" si="65"/>
        <v>ony He</v>
      </c>
      <c r="V897" t="str">
        <f t="shared" si="69"/>
        <v>96</v>
      </c>
    </row>
    <row r="898" spans="1:22" x14ac:dyDescent="0.3">
      <c r="A898" s="1" t="s">
        <v>1879</v>
      </c>
      <c r="B898" s="1" t="s">
        <v>1880</v>
      </c>
      <c r="C898" s="1" t="s">
        <v>44</v>
      </c>
      <c r="D898">
        <v>36</v>
      </c>
      <c r="E898" s="1" t="s">
        <v>64</v>
      </c>
      <c r="F898" s="1" t="s">
        <v>26</v>
      </c>
      <c r="G898" s="1" t="s">
        <v>82</v>
      </c>
      <c r="H898">
        <v>8</v>
      </c>
      <c r="I898">
        <v>50</v>
      </c>
      <c r="J898">
        <v>4.3</v>
      </c>
      <c r="K898">
        <v>0</v>
      </c>
      <c r="L898">
        <v>0.9</v>
      </c>
      <c r="M898" s="1" t="s">
        <v>20</v>
      </c>
      <c r="N898" s="1" t="s">
        <v>65</v>
      </c>
      <c r="O898">
        <v>15</v>
      </c>
      <c r="P898">
        <v>1</v>
      </c>
      <c r="Q898" t="str">
        <f t="shared" si="66"/>
        <v>ERICA JOHNSON</v>
      </c>
      <c r="R898" t="str">
        <f t="shared" si="67"/>
        <v>us</v>
      </c>
      <c r="S898" t="str">
        <f>PROPER(global_freelancer_raw[[#This Row],[NAME UPPER]])</f>
        <v>Erica Johnson</v>
      </c>
      <c r="T898" t="str">
        <f t="shared" si="68"/>
        <v>US</v>
      </c>
      <c r="U898" t="str">
        <f t="shared" ref="U898:U961" si="70">MID(B898,5,6)</f>
        <v>a John</v>
      </c>
      <c r="V898" t="str">
        <f t="shared" si="69"/>
        <v>97</v>
      </c>
    </row>
    <row r="899" spans="1:22" x14ac:dyDescent="0.3">
      <c r="A899" s="1" t="s">
        <v>1881</v>
      </c>
      <c r="B899" s="1" t="s">
        <v>1882</v>
      </c>
      <c r="C899" s="1" t="s">
        <v>106</v>
      </c>
      <c r="D899">
        <v>26</v>
      </c>
      <c r="E899" s="1" t="s">
        <v>47</v>
      </c>
      <c r="F899" s="1" t="s">
        <v>48</v>
      </c>
      <c r="G899" s="1" t="s">
        <v>49</v>
      </c>
      <c r="H899">
        <v>6</v>
      </c>
      <c r="I899" t="s">
        <v>41</v>
      </c>
      <c r="J899">
        <v>1.3</v>
      </c>
      <c r="K899">
        <v>0</v>
      </c>
      <c r="M899" s="1" t="s">
        <v>72</v>
      </c>
      <c r="N899" s="1" t="s">
        <v>65</v>
      </c>
      <c r="O899">
        <v>8</v>
      </c>
      <c r="P899">
        <v>5</v>
      </c>
      <c r="Q899" t="str">
        <f t="shared" ref="Q899:Q962" si="71">UPPER(B899)</f>
        <v>RANDALL BARRETT</v>
      </c>
      <c r="R899" t="str">
        <f t="shared" ref="R899:R962" si="72">LOWER(E899)</f>
        <v>netherlands</v>
      </c>
      <c r="S899" t="str">
        <f>PROPER(global_freelancer_raw[[#This Row],[NAME UPPER]])</f>
        <v>Randall Barrett</v>
      </c>
      <c r="T899" t="str">
        <f t="shared" ref="T899:T962" si="73">LEFT(E899,"2")</f>
        <v>Ne</v>
      </c>
      <c r="U899" t="str">
        <f t="shared" si="70"/>
        <v>all Ba</v>
      </c>
      <c r="V899" t="str">
        <f t="shared" ref="V899:V962" si="74">RIGHT(A899,"2")</f>
        <v>98</v>
      </c>
    </row>
    <row r="900" spans="1:22" x14ac:dyDescent="0.3">
      <c r="A900" s="1" t="s">
        <v>1883</v>
      </c>
      <c r="B900" s="1" t="s">
        <v>1884</v>
      </c>
      <c r="C900" s="1" t="s">
        <v>32</v>
      </c>
      <c r="D900">
        <v>21</v>
      </c>
      <c r="E900" s="1" t="s">
        <v>33</v>
      </c>
      <c r="F900" s="1" t="s">
        <v>33</v>
      </c>
      <c r="G900" s="1" t="s">
        <v>82</v>
      </c>
      <c r="H900">
        <v>3</v>
      </c>
      <c r="I900">
        <v>50</v>
      </c>
      <c r="J900">
        <v>4.5999999999999996</v>
      </c>
      <c r="K900" t="s">
        <v>83</v>
      </c>
      <c r="M900" s="1" t="s">
        <v>72</v>
      </c>
      <c r="N900" s="1" t="s">
        <v>21</v>
      </c>
      <c r="O900">
        <v>5</v>
      </c>
      <c r="P900">
        <v>3</v>
      </c>
      <c r="Q900" t="str">
        <f t="shared" si="71"/>
        <v>NATHAN HUFF</v>
      </c>
      <c r="R900" t="str">
        <f t="shared" si="72"/>
        <v>germany</v>
      </c>
      <c r="S900" t="str">
        <f>PROPER(global_freelancer_raw[[#This Row],[NAME UPPER]])</f>
        <v>Nathan Huff</v>
      </c>
      <c r="T900" t="str">
        <f t="shared" si="73"/>
        <v>Ge</v>
      </c>
      <c r="U900" t="str">
        <f t="shared" si="70"/>
        <v>an Huf</v>
      </c>
      <c r="V900" t="str">
        <f t="shared" si="74"/>
        <v>99</v>
      </c>
    </row>
    <row r="901" spans="1:22" x14ac:dyDescent="0.3">
      <c r="A901" s="1" t="s">
        <v>1885</v>
      </c>
      <c r="B901" s="1" t="s">
        <v>1886</v>
      </c>
      <c r="C901" s="1" t="s">
        <v>16</v>
      </c>
      <c r="D901">
        <v>39</v>
      </c>
      <c r="E901" s="1" t="s">
        <v>55</v>
      </c>
      <c r="F901" s="1" t="s">
        <v>56</v>
      </c>
      <c r="G901" s="1" t="s">
        <v>82</v>
      </c>
      <c r="H901">
        <v>18</v>
      </c>
      <c r="I901">
        <v>50</v>
      </c>
      <c r="J901">
        <v>2.1</v>
      </c>
      <c r="K901">
        <v>0</v>
      </c>
      <c r="L901">
        <v>75</v>
      </c>
      <c r="M901" s="1" t="s">
        <v>51</v>
      </c>
      <c r="N901" s="1" t="s">
        <v>36</v>
      </c>
      <c r="O901">
        <v>10</v>
      </c>
      <c r="P901">
        <v>7</v>
      </c>
      <c r="Q901" t="str">
        <f t="shared" si="71"/>
        <v>ROBIN WALSH</v>
      </c>
      <c r="R901" t="str">
        <f t="shared" si="72"/>
        <v>indonesia</v>
      </c>
      <c r="S901" t="str">
        <f>PROPER(global_freelancer_raw[[#This Row],[NAME UPPER]])</f>
        <v>Robin Walsh</v>
      </c>
      <c r="T901" t="str">
        <f t="shared" si="73"/>
        <v>In</v>
      </c>
      <c r="U901" t="str">
        <f t="shared" si="70"/>
        <v>n Wals</v>
      </c>
      <c r="V901" t="str">
        <f t="shared" si="74"/>
        <v>00</v>
      </c>
    </row>
    <row r="902" spans="1:22" x14ac:dyDescent="0.3">
      <c r="A902" s="1" t="s">
        <v>1887</v>
      </c>
      <c r="B902" s="1" t="s">
        <v>1888</v>
      </c>
      <c r="C902" s="1" t="s">
        <v>86</v>
      </c>
      <c r="D902">
        <v>37</v>
      </c>
      <c r="E902" s="1" t="s">
        <v>64</v>
      </c>
      <c r="F902" s="1" t="s">
        <v>26</v>
      </c>
      <c r="G902" s="1" t="s">
        <v>19</v>
      </c>
      <c r="H902">
        <v>18</v>
      </c>
      <c r="I902">
        <v>40</v>
      </c>
      <c r="J902">
        <v>4.5</v>
      </c>
      <c r="K902" t="s">
        <v>168</v>
      </c>
      <c r="L902">
        <v>0.72</v>
      </c>
      <c r="M902" s="1" t="s">
        <v>20</v>
      </c>
      <c r="N902" s="1" t="s">
        <v>65</v>
      </c>
      <c r="O902">
        <v>14</v>
      </c>
      <c r="P902">
        <v>8</v>
      </c>
      <c r="Q902" t="str">
        <f t="shared" si="71"/>
        <v>YVONNE ROBINSON</v>
      </c>
      <c r="R902" t="str">
        <f t="shared" si="72"/>
        <v>us</v>
      </c>
      <c r="S902" t="str">
        <f>PROPER(global_freelancer_raw[[#This Row],[NAME UPPER]])</f>
        <v>Yvonne Robinson</v>
      </c>
      <c r="T902" t="str">
        <f t="shared" si="73"/>
        <v>US</v>
      </c>
      <c r="U902" t="str">
        <f t="shared" si="70"/>
        <v>ne Rob</v>
      </c>
      <c r="V902" t="str">
        <f t="shared" si="74"/>
        <v>01</v>
      </c>
    </row>
    <row r="903" spans="1:22" x14ac:dyDescent="0.3">
      <c r="A903" s="1" t="s">
        <v>1889</v>
      </c>
      <c r="B903" s="1" t="s">
        <v>1890</v>
      </c>
      <c r="C903" s="1" t="s">
        <v>86</v>
      </c>
      <c r="D903">
        <v>47</v>
      </c>
      <c r="E903" s="1" t="s">
        <v>133</v>
      </c>
      <c r="F903" s="1" t="s">
        <v>134</v>
      </c>
      <c r="G903" s="1" t="s">
        <v>82</v>
      </c>
      <c r="H903">
        <v>3</v>
      </c>
      <c r="I903">
        <v>40</v>
      </c>
      <c r="J903">
        <v>4.4000000000000004</v>
      </c>
      <c r="K903" t="s">
        <v>76</v>
      </c>
      <c r="L903">
        <v>0.92</v>
      </c>
      <c r="M903" s="1" t="s">
        <v>20</v>
      </c>
      <c r="N903" s="1" t="s">
        <v>65</v>
      </c>
      <c r="O903">
        <v>5</v>
      </c>
      <c r="P903">
        <v>2</v>
      </c>
      <c r="Q903" t="str">
        <f t="shared" si="71"/>
        <v>KATHLEEN HENDRIX</v>
      </c>
      <c r="R903" t="str">
        <f t="shared" si="72"/>
        <v>russia</v>
      </c>
      <c r="S903" t="str">
        <f>PROPER(global_freelancer_raw[[#This Row],[NAME UPPER]])</f>
        <v>Kathleen Hendrix</v>
      </c>
      <c r="T903" t="str">
        <f t="shared" si="73"/>
        <v>Ru</v>
      </c>
      <c r="U903" t="str">
        <f t="shared" si="70"/>
        <v>leen H</v>
      </c>
      <c r="V903" t="str">
        <f t="shared" si="74"/>
        <v>02</v>
      </c>
    </row>
    <row r="904" spans="1:22" x14ac:dyDescent="0.3">
      <c r="A904" s="1" t="s">
        <v>1891</v>
      </c>
      <c r="B904" s="1" t="s">
        <v>1892</v>
      </c>
      <c r="C904" s="1" t="s">
        <v>24</v>
      </c>
      <c r="D904">
        <v>53</v>
      </c>
      <c r="E904" s="1" t="s">
        <v>133</v>
      </c>
      <c r="F904" s="1" t="s">
        <v>134</v>
      </c>
      <c r="G904" s="1" t="s">
        <v>34</v>
      </c>
      <c r="H904">
        <v>32</v>
      </c>
      <c r="I904" t="s">
        <v>323</v>
      </c>
      <c r="J904">
        <v>0</v>
      </c>
      <c r="K904" t="s">
        <v>35</v>
      </c>
      <c r="M904" s="1" t="s">
        <v>51</v>
      </c>
      <c r="N904" s="1" t="s">
        <v>21</v>
      </c>
      <c r="O904">
        <v>17</v>
      </c>
      <c r="P904">
        <v>8</v>
      </c>
      <c r="Q904" t="str">
        <f t="shared" si="71"/>
        <v>JENNIFER BAKER</v>
      </c>
      <c r="R904" t="str">
        <f t="shared" si="72"/>
        <v>russia</v>
      </c>
      <c r="S904" t="str">
        <f>PROPER(global_freelancer_raw[[#This Row],[NAME UPPER]])</f>
        <v>Jennifer Baker</v>
      </c>
      <c r="T904" t="str">
        <f t="shared" si="73"/>
        <v>Ru</v>
      </c>
      <c r="U904" t="str">
        <f t="shared" si="70"/>
        <v>ifer B</v>
      </c>
      <c r="V904" t="str">
        <f t="shared" si="74"/>
        <v>03</v>
      </c>
    </row>
    <row r="905" spans="1:22" x14ac:dyDescent="0.3">
      <c r="A905" s="1" t="s">
        <v>1893</v>
      </c>
      <c r="B905" s="1" t="s">
        <v>1894</v>
      </c>
      <c r="C905" s="1" t="s">
        <v>44</v>
      </c>
      <c r="D905">
        <v>53</v>
      </c>
      <c r="E905" s="1" t="s">
        <v>80</v>
      </c>
      <c r="F905" s="1" t="s">
        <v>81</v>
      </c>
      <c r="G905" s="1" t="s">
        <v>27</v>
      </c>
      <c r="H905">
        <v>19</v>
      </c>
      <c r="I905" t="s">
        <v>323</v>
      </c>
      <c r="J905">
        <v>1.3</v>
      </c>
      <c r="K905">
        <v>0</v>
      </c>
      <c r="M905" s="1" t="s">
        <v>20</v>
      </c>
      <c r="N905" s="1" t="s">
        <v>36</v>
      </c>
      <c r="O905">
        <v>11</v>
      </c>
      <c r="P905">
        <v>5</v>
      </c>
      <c r="Q905" t="str">
        <f t="shared" si="71"/>
        <v>KIM MARTINEZ</v>
      </c>
      <c r="R905" t="str">
        <f t="shared" si="72"/>
        <v>argentina</v>
      </c>
      <c r="S905" t="str">
        <f>PROPER(global_freelancer_raw[[#This Row],[NAME UPPER]])</f>
        <v>Kim Martinez</v>
      </c>
      <c r="T905" t="str">
        <f t="shared" si="73"/>
        <v>Ar</v>
      </c>
      <c r="U905" t="str">
        <f t="shared" si="70"/>
        <v>Martin</v>
      </c>
      <c r="V905" t="str">
        <f t="shared" si="74"/>
        <v>04</v>
      </c>
    </row>
    <row r="906" spans="1:22" x14ac:dyDescent="0.3">
      <c r="A906" s="1" t="s">
        <v>1895</v>
      </c>
      <c r="B906" s="1" t="s">
        <v>1896</v>
      </c>
      <c r="C906" s="1" t="s">
        <v>32</v>
      </c>
      <c r="D906">
        <v>21</v>
      </c>
      <c r="E906" s="1" t="s">
        <v>102</v>
      </c>
      <c r="F906" s="1" t="s">
        <v>103</v>
      </c>
      <c r="G906" s="1" t="s">
        <v>57</v>
      </c>
      <c r="H906">
        <v>2</v>
      </c>
      <c r="I906">
        <v>50</v>
      </c>
      <c r="J906">
        <v>2.6</v>
      </c>
      <c r="K906" t="b">
        <v>0</v>
      </c>
      <c r="L906">
        <v>0.86</v>
      </c>
      <c r="M906" s="1" t="s">
        <v>20</v>
      </c>
      <c r="N906" s="1" t="s">
        <v>65</v>
      </c>
      <c r="O906">
        <v>5</v>
      </c>
      <c r="P906">
        <v>1</v>
      </c>
      <c r="Q906" t="str">
        <f t="shared" si="71"/>
        <v>ANDREW LITTLE</v>
      </c>
      <c r="R906" t="str">
        <f t="shared" si="72"/>
        <v>india</v>
      </c>
      <c r="S906" t="str">
        <f>PROPER(global_freelancer_raw[[#This Row],[NAME UPPER]])</f>
        <v>Andrew Little</v>
      </c>
      <c r="T906" t="str">
        <f t="shared" si="73"/>
        <v>In</v>
      </c>
      <c r="U906" t="str">
        <f t="shared" si="70"/>
        <v>ew Lit</v>
      </c>
      <c r="V906" t="str">
        <f t="shared" si="74"/>
        <v>05</v>
      </c>
    </row>
    <row r="907" spans="1:22" x14ac:dyDescent="0.3">
      <c r="A907" s="1" t="s">
        <v>1897</v>
      </c>
      <c r="B907" s="1" t="s">
        <v>1898</v>
      </c>
      <c r="C907" s="1" t="s">
        <v>44</v>
      </c>
      <c r="D907">
        <v>35</v>
      </c>
      <c r="E907" s="1" t="s">
        <v>75</v>
      </c>
      <c r="F907" s="1" t="s">
        <v>26</v>
      </c>
      <c r="G907" s="1" t="s">
        <v>19</v>
      </c>
      <c r="H907">
        <v>0</v>
      </c>
      <c r="K907" t="s">
        <v>83</v>
      </c>
      <c r="L907">
        <v>85</v>
      </c>
      <c r="M907" s="1" t="s">
        <v>77</v>
      </c>
      <c r="N907" s="1" t="s">
        <v>21</v>
      </c>
      <c r="O907">
        <v>3</v>
      </c>
      <c r="P907">
        <v>3</v>
      </c>
      <c r="Q907" t="str">
        <f t="shared" si="71"/>
        <v>KELLY SHELTON</v>
      </c>
      <c r="R907" t="str">
        <f t="shared" si="72"/>
        <v>uk</v>
      </c>
      <c r="S907" t="str">
        <f>PROPER(global_freelancer_raw[[#This Row],[NAME UPPER]])</f>
        <v>Kelly Shelton</v>
      </c>
      <c r="T907" t="str">
        <f t="shared" si="73"/>
        <v>UK</v>
      </c>
      <c r="U907" t="str">
        <f t="shared" si="70"/>
        <v>y Shel</v>
      </c>
      <c r="V907" t="str">
        <f t="shared" si="74"/>
        <v>06</v>
      </c>
    </row>
    <row r="908" spans="1:22" x14ac:dyDescent="0.3">
      <c r="A908" s="1" t="s">
        <v>1899</v>
      </c>
      <c r="B908" s="1" t="s">
        <v>1900</v>
      </c>
      <c r="C908" s="1" t="s">
        <v>106</v>
      </c>
      <c r="D908">
        <v>31</v>
      </c>
      <c r="E908" s="1" t="s">
        <v>80</v>
      </c>
      <c r="F908" s="1" t="s">
        <v>81</v>
      </c>
      <c r="G908" s="1" t="s">
        <v>123</v>
      </c>
      <c r="H908">
        <v>13</v>
      </c>
      <c r="I908" t="s">
        <v>41</v>
      </c>
      <c r="J908">
        <v>1.2</v>
      </c>
      <c r="K908" t="b">
        <v>0</v>
      </c>
      <c r="L908">
        <v>62</v>
      </c>
      <c r="M908" s="1" t="s">
        <v>72</v>
      </c>
      <c r="N908" s="1" t="s">
        <v>65</v>
      </c>
      <c r="O908">
        <v>7</v>
      </c>
      <c r="P908">
        <v>7</v>
      </c>
      <c r="Q908" t="str">
        <f t="shared" si="71"/>
        <v>STEVEN DUNCAN</v>
      </c>
      <c r="R908" t="str">
        <f t="shared" si="72"/>
        <v>argentina</v>
      </c>
      <c r="S908" t="str">
        <f>PROPER(global_freelancer_raw[[#This Row],[NAME UPPER]])</f>
        <v>Steven Duncan</v>
      </c>
      <c r="T908" t="str">
        <f t="shared" si="73"/>
        <v>Ar</v>
      </c>
      <c r="U908" t="str">
        <f t="shared" si="70"/>
        <v>en Dun</v>
      </c>
      <c r="V908" t="str">
        <f t="shared" si="74"/>
        <v>07</v>
      </c>
    </row>
    <row r="909" spans="1:22" x14ac:dyDescent="0.3">
      <c r="A909" s="1" t="s">
        <v>1901</v>
      </c>
      <c r="B909" s="1" t="s">
        <v>1902</v>
      </c>
      <c r="C909" s="1" t="s">
        <v>86</v>
      </c>
      <c r="D909">
        <v>55</v>
      </c>
      <c r="E909" s="1" t="s">
        <v>121</v>
      </c>
      <c r="F909" s="1" t="s">
        <v>122</v>
      </c>
      <c r="G909" s="1" t="s">
        <v>49</v>
      </c>
      <c r="H909">
        <v>2</v>
      </c>
      <c r="I909" t="s">
        <v>118</v>
      </c>
      <c r="J909">
        <v>3.1</v>
      </c>
      <c r="K909" t="s">
        <v>83</v>
      </c>
      <c r="L909">
        <v>0.91</v>
      </c>
      <c r="M909" s="1" t="s">
        <v>20</v>
      </c>
      <c r="N909" s="1" t="s">
        <v>29</v>
      </c>
      <c r="O909">
        <v>4</v>
      </c>
      <c r="P909">
        <v>1</v>
      </c>
      <c r="Q909" t="str">
        <f t="shared" si="71"/>
        <v>KRISTEN HANEY</v>
      </c>
      <c r="R909" t="str">
        <f t="shared" si="72"/>
        <v>south korea</v>
      </c>
      <c r="S909" t="str">
        <f>PROPER(global_freelancer_raw[[#This Row],[NAME UPPER]])</f>
        <v>Kristen Haney</v>
      </c>
      <c r="T909" t="str">
        <f t="shared" si="73"/>
        <v>So</v>
      </c>
      <c r="U909" t="str">
        <f t="shared" si="70"/>
        <v>ten Ha</v>
      </c>
      <c r="V909" t="str">
        <f t="shared" si="74"/>
        <v>08</v>
      </c>
    </row>
    <row r="910" spans="1:22" x14ac:dyDescent="0.3">
      <c r="A910" s="1" t="s">
        <v>1903</v>
      </c>
      <c r="B910" s="1" t="s">
        <v>1904</v>
      </c>
      <c r="C910" s="1" t="s">
        <v>16</v>
      </c>
      <c r="D910">
        <v>59</v>
      </c>
      <c r="E910" s="1" t="s">
        <v>69</v>
      </c>
      <c r="F910" s="1" t="s">
        <v>70</v>
      </c>
      <c r="G910" s="1" t="s">
        <v>40</v>
      </c>
      <c r="H910">
        <v>11</v>
      </c>
      <c r="I910" t="s">
        <v>179</v>
      </c>
      <c r="J910">
        <v>2.2999999999999998</v>
      </c>
      <c r="K910" t="s">
        <v>83</v>
      </c>
      <c r="L910">
        <v>0.8</v>
      </c>
      <c r="M910" s="1" t="s">
        <v>77</v>
      </c>
      <c r="N910" s="1" t="s">
        <v>21</v>
      </c>
      <c r="O910">
        <v>12</v>
      </c>
      <c r="P910">
        <v>9</v>
      </c>
      <c r="Q910" t="str">
        <f t="shared" si="71"/>
        <v>KATHY REESE</v>
      </c>
      <c r="R910" t="str">
        <f t="shared" si="72"/>
        <v>turkey</v>
      </c>
      <c r="S910" t="str">
        <f>PROPER(global_freelancer_raw[[#This Row],[NAME UPPER]])</f>
        <v>Kathy Reese</v>
      </c>
      <c r="T910" t="str">
        <f t="shared" si="73"/>
        <v>Tu</v>
      </c>
      <c r="U910" t="str">
        <f t="shared" si="70"/>
        <v>y Rees</v>
      </c>
      <c r="V910" t="str">
        <f t="shared" si="74"/>
        <v>09</v>
      </c>
    </row>
    <row r="911" spans="1:22" x14ac:dyDescent="0.3">
      <c r="A911" s="1" t="s">
        <v>1905</v>
      </c>
      <c r="B911" s="1" t="s">
        <v>1906</v>
      </c>
      <c r="C911" s="1" t="s">
        <v>68</v>
      </c>
      <c r="D911">
        <v>59</v>
      </c>
      <c r="E911" s="1" t="s">
        <v>144</v>
      </c>
      <c r="F911" s="1" t="s">
        <v>145</v>
      </c>
      <c r="G911" s="1" t="s">
        <v>87</v>
      </c>
      <c r="H911">
        <v>17</v>
      </c>
      <c r="I911">
        <v>100</v>
      </c>
      <c r="J911">
        <v>4</v>
      </c>
      <c r="K911" t="s">
        <v>168</v>
      </c>
      <c r="L911">
        <v>0.72</v>
      </c>
      <c r="M911" s="1" t="s">
        <v>72</v>
      </c>
      <c r="N911" s="1" t="s">
        <v>36</v>
      </c>
      <c r="O911">
        <v>13</v>
      </c>
      <c r="P911">
        <v>9</v>
      </c>
      <c r="Q911" t="str">
        <f t="shared" si="71"/>
        <v>STEVEN MURPHY</v>
      </c>
      <c r="R911" t="str">
        <f t="shared" si="72"/>
        <v>france</v>
      </c>
      <c r="S911" t="str">
        <f>PROPER(global_freelancer_raw[[#This Row],[NAME UPPER]])</f>
        <v>Steven Murphy</v>
      </c>
      <c r="T911" t="str">
        <f t="shared" si="73"/>
        <v>Fr</v>
      </c>
      <c r="U911" t="str">
        <f t="shared" si="70"/>
        <v>en Mur</v>
      </c>
      <c r="V911" t="str">
        <f t="shared" si="74"/>
        <v>10</v>
      </c>
    </row>
    <row r="912" spans="1:22" x14ac:dyDescent="0.3">
      <c r="A912" s="1" t="s">
        <v>1907</v>
      </c>
      <c r="B912" s="1" t="s">
        <v>1908</v>
      </c>
      <c r="C912" s="1" t="s">
        <v>101</v>
      </c>
      <c r="D912">
        <v>47</v>
      </c>
      <c r="E912" s="1" t="s">
        <v>102</v>
      </c>
      <c r="F912" s="1" t="s">
        <v>103</v>
      </c>
      <c r="G912" s="1" t="s">
        <v>19</v>
      </c>
      <c r="H912">
        <v>10</v>
      </c>
      <c r="I912" t="s">
        <v>179</v>
      </c>
      <c r="J912">
        <v>1.9</v>
      </c>
      <c r="M912" s="1" t="s">
        <v>51</v>
      </c>
      <c r="N912" s="1" t="s">
        <v>36</v>
      </c>
      <c r="O912">
        <v>8</v>
      </c>
      <c r="P912">
        <v>4</v>
      </c>
      <c r="Q912" t="str">
        <f t="shared" si="71"/>
        <v>WILLIAM HARTMAN</v>
      </c>
      <c r="R912" t="str">
        <f t="shared" si="72"/>
        <v>india</v>
      </c>
      <c r="S912" t="str">
        <f>PROPER(global_freelancer_raw[[#This Row],[NAME UPPER]])</f>
        <v>William Hartman</v>
      </c>
      <c r="T912" t="str">
        <f t="shared" si="73"/>
        <v>In</v>
      </c>
      <c r="U912" t="str">
        <f t="shared" si="70"/>
        <v>iam Ha</v>
      </c>
      <c r="V912" t="str">
        <f t="shared" si="74"/>
        <v>11</v>
      </c>
    </row>
    <row r="913" spans="1:22" x14ac:dyDescent="0.3">
      <c r="A913" s="1" t="s">
        <v>1909</v>
      </c>
      <c r="B913" s="1" t="s">
        <v>1910</v>
      </c>
      <c r="C913" s="1" t="s">
        <v>44</v>
      </c>
      <c r="D913">
        <v>53</v>
      </c>
      <c r="E913" s="1" t="s">
        <v>162</v>
      </c>
      <c r="F913" s="1" t="s">
        <v>163</v>
      </c>
      <c r="G913" s="1" t="s">
        <v>123</v>
      </c>
      <c r="H913">
        <v>26</v>
      </c>
      <c r="I913">
        <v>75</v>
      </c>
      <c r="J913">
        <v>2.4</v>
      </c>
      <c r="K913" t="s">
        <v>76</v>
      </c>
      <c r="M913" s="1" t="s">
        <v>77</v>
      </c>
      <c r="N913" s="1" t="s">
        <v>36</v>
      </c>
      <c r="O913">
        <v>14</v>
      </c>
      <c r="P913">
        <v>12</v>
      </c>
      <c r="Q913" t="str">
        <f t="shared" si="71"/>
        <v>SONYA HALEY</v>
      </c>
      <c r="R913" t="str">
        <f t="shared" si="72"/>
        <v>south africa</v>
      </c>
      <c r="S913" t="str">
        <f>PROPER(global_freelancer_raw[[#This Row],[NAME UPPER]])</f>
        <v>Sonya Haley</v>
      </c>
      <c r="T913" t="str">
        <f t="shared" si="73"/>
        <v>So</v>
      </c>
      <c r="U913" t="str">
        <f t="shared" si="70"/>
        <v>a Hale</v>
      </c>
      <c r="V913" t="str">
        <f t="shared" si="74"/>
        <v>12</v>
      </c>
    </row>
    <row r="914" spans="1:22" x14ac:dyDescent="0.3">
      <c r="A914" s="1" t="s">
        <v>1911</v>
      </c>
      <c r="B914" s="1" t="s">
        <v>528</v>
      </c>
      <c r="C914" s="1" t="s">
        <v>68</v>
      </c>
      <c r="D914">
        <v>49</v>
      </c>
      <c r="E914" s="1" t="s">
        <v>162</v>
      </c>
      <c r="F914" s="1" t="s">
        <v>163</v>
      </c>
      <c r="G914" s="1" t="s">
        <v>57</v>
      </c>
      <c r="I914" t="s">
        <v>50</v>
      </c>
      <c r="K914" t="s">
        <v>76</v>
      </c>
      <c r="L914">
        <v>0.74</v>
      </c>
      <c r="M914" s="1" t="s">
        <v>77</v>
      </c>
      <c r="N914" s="1" t="s">
        <v>36</v>
      </c>
      <c r="O914">
        <v>4</v>
      </c>
      <c r="P914">
        <v>1</v>
      </c>
      <c r="Q914" t="str">
        <f t="shared" si="71"/>
        <v>ROBERT EVANS</v>
      </c>
      <c r="R914" t="str">
        <f t="shared" si="72"/>
        <v>south africa</v>
      </c>
      <c r="S914" t="str">
        <f>PROPER(global_freelancer_raw[[#This Row],[NAME UPPER]])</f>
        <v>Robert Evans</v>
      </c>
      <c r="T914" t="str">
        <f t="shared" si="73"/>
        <v>So</v>
      </c>
      <c r="U914" t="str">
        <f t="shared" si="70"/>
        <v>rt Eva</v>
      </c>
      <c r="V914" t="str">
        <f t="shared" si="74"/>
        <v>13</v>
      </c>
    </row>
    <row r="915" spans="1:22" x14ac:dyDescent="0.3">
      <c r="A915" s="1" t="s">
        <v>1912</v>
      </c>
      <c r="B915" s="1" t="s">
        <v>1913</v>
      </c>
      <c r="C915" s="1" t="s">
        <v>16</v>
      </c>
      <c r="D915">
        <v>50</v>
      </c>
      <c r="E915" s="1" t="s">
        <v>162</v>
      </c>
      <c r="F915" s="1" t="s">
        <v>163</v>
      </c>
      <c r="G915" s="1" t="s">
        <v>27</v>
      </c>
      <c r="H915">
        <v>8</v>
      </c>
      <c r="I915" t="s">
        <v>107</v>
      </c>
      <c r="J915">
        <v>3.7</v>
      </c>
      <c r="K915" t="s">
        <v>83</v>
      </c>
      <c r="L915">
        <v>0.82</v>
      </c>
      <c r="M915" s="1" t="s">
        <v>72</v>
      </c>
      <c r="N915" s="1" t="s">
        <v>65</v>
      </c>
      <c r="O915">
        <v>15</v>
      </c>
      <c r="P915">
        <v>6</v>
      </c>
      <c r="Q915" t="str">
        <f t="shared" si="71"/>
        <v>PATRICIA RICHARDSON</v>
      </c>
      <c r="R915" t="str">
        <f t="shared" si="72"/>
        <v>south africa</v>
      </c>
      <c r="S915" t="str">
        <f>PROPER(global_freelancer_raw[[#This Row],[NAME UPPER]])</f>
        <v>Patricia Richardson</v>
      </c>
      <c r="T915" t="str">
        <f t="shared" si="73"/>
        <v>So</v>
      </c>
      <c r="U915" t="str">
        <f t="shared" si="70"/>
        <v>icia R</v>
      </c>
      <c r="V915" t="str">
        <f t="shared" si="74"/>
        <v>14</v>
      </c>
    </row>
    <row r="916" spans="1:22" x14ac:dyDescent="0.3">
      <c r="A916" s="1" t="s">
        <v>1914</v>
      </c>
      <c r="B916" s="1" t="s">
        <v>1915</v>
      </c>
      <c r="C916" s="1" t="s">
        <v>44</v>
      </c>
      <c r="D916">
        <v>59</v>
      </c>
      <c r="E916" s="1" t="s">
        <v>121</v>
      </c>
      <c r="F916" s="1" t="s">
        <v>122</v>
      </c>
      <c r="G916" s="1" t="s">
        <v>123</v>
      </c>
      <c r="H916">
        <v>22</v>
      </c>
      <c r="I916" t="s">
        <v>28</v>
      </c>
      <c r="J916">
        <v>1.1000000000000001</v>
      </c>
      <c r="K916" t="s">
        <v>168</v>
      </c>
      <c r="L916">
        <v>0.85</v>
      </c>
      <c r="M916" s="1" t="s">
        <v>51</v>
      </c>
      <c r="N916" s="1" t="s">
        <v>65</v>
      </c>
      <c r="O916">
        <v>12</v>
      </c>
      <c r="P916">
        <v>14</v>
      </c>
      <c r="Q916" t="str">
        <f t="shared" si="71"/>
        <v>CAROLYN LOPEZ</v>
      </c>
      <c r="R916" t="str">
        <f t="shared" si="72"/>
        <v>south korea</v>
      </c>
      <c r="S916" t="str">
        <f>PROPER(global_freelancer_raw[[#This Row],[NAME UPPER]])</f>
        <v>Carolyn Lopez</v>
      </c>
      <c r="T916" t="str">
        <f t="shared" si="73"/>
        <v>So</v>
      </c>
      <c r="U916" t="str">
        <f t="shared" si="70"/>
        <v>lyn Lo</v>
      </c>
      <c r="V916" t="str">
        <f t="shared" si="74"/>
        <v>15</v>
      </c>
    </row>
    <row r="917" spans="1:22" x14ac:dyDescent="0.3">
      <c r="A917" s="1" t="s">
        <v>1916</v>
      </c>
      <c r="B917" s="1" t="s">
        <v>1917</v>
      </c>
      <c r="C917" s="1" t="s">
        <v>101</v>
      </c>
      <c r="D917">
        <v>33</v>
      </c>
      <c r="E917" s="1" t="s">
        <v>69</v>
      </c>
      <c r="F917" s="1" t="s">
        <v>70</v>
      </c>
      <c r="G917" s="1" t="s">
        <v>57</v>
      </c>
      <c r="H917">
        <v>8</v>
      </c>
      <c r="I917" t="s">
        <v>58</v>
      </c>
      <c r="J917">
        <v>2.2999999999999998</v>
      </c>
      <c r="K917" t="b">
        <v>1</v>
      </c>
      <c r="L917">
        <v>0.68</v>
      </c>
      <c r="M917" s="1" t="s">
        <v>77</v>
      </c>
      <c r="N917" s="1" t="s">
        <v>36</v>
      </c>
      <c r="O917">
        <v>8</v>
      </c>
      <c r="P917">
        <v>7</v>
      </c>
      <c r="Q917" t="str">
        <f t="shared" si="71"/>
        <v>KYLE BURNS</v>
      </c>
      <c r="R917" t="str">
        <f t="shared" si="72"/>
        <v>turkey</v>
      </c>
      <c r="S917" t="str">
        <f>PROPER(global_freelancer_raw[[#This Row],[NAME UPPER]])</f>
        <v>Kyle Burns</v>
      </c>
      <c r="T917" t="str">
        <f t="shared" si="73"/>
        <v>Tu</v>
      </c>
      <c r="U917" t="str">
        <f t="shared" si="70"/>
        <v xml:space="preserve"> Burns</v>
      </c>
      <c r="V917" t="str">
        <f t="shared" si="74"/>
        <v>16</v>
      </c>
    </row>
    <row r="918" spans="1:22" x14ac:dyDescent="0.3">
      <c r="A918" s="1" t="s">
        <v>1918</v>
      </c>
      <c r="B918" s="1" t="s">
        <v>1919</v>
      </c>
      <c r="C918" s="1" t="s">
        <v>16</v>
      </c>
      <c r="D918">
        <v>45</v>
      </c>
      <c r="E918" s="1" t="s">
        <v>137</v>
      </c>
      <c r="F918" s="1" t="s">
        <v>26</v>
      </c>
      <c r="G918" s="1" t="s">
        <v>40</v>
      </c>
      <c r="H918">
        <v>22</v>
      </c>
      <c r="I918">
        <v>40</v>
      </c>
      <c r="J918">
        <v>3.7</v>
      </c>
      <c r="K918" t="s">
        <v>83</v>
      </c>
      <c r="L918">
        <v>0.99</v>
      </c>
      <c r="M918" s="1" t="s">
        <v>20</v>
      </c>
      <c r="N918" s="1" t="s">
        <v>36</v>
      </c>
      <c r="O918">
        <v>20</v>
      </c>
      <c r="P918">
        <v>16</v>
      </c>
      <c r="Q918" t="str">
        <f t="shared" si="71"/>
        <v>MARGARET GARCIA</v>
      </c>
      <c r="R918" t="str">
        <f t="shared" si="72"/>
        <v>canada</v>
      </c>
      <c r="S918" t="str">
        <f>PROPER(global_freelancer_raw[[#This Row],[NAME UPPER]])</f>
        <v>Margaret Garcia</v>
      </c>
      <c r="T918" t="str">
        <f t="shared" si="73"/>
        <v>Ca</v>
      </c>
      <c r="U918" t="str">
        <f t="shared" si="70"/>
        <v>aret G</v>
      </c>
      <c r="V918" t="str">
        <f t="shared" si="74"/>
        <v>17</v>
      </c>
    </row>
    <row r="919" spans="1:22" x14ac:dyDescent="0.3">
      <c r="A919" s="1" t="s">
        <v>1920</v>
      </c>
      <c r="B919" s="1" t="s">
        <v>1921</v>
      </c>
      <c r="C919" s="1" t="s">
        <v>44</v>
      </c>
      <c r="D919">
        <v>36</v>
      </c>
      <c r="E919" s="1" t="s">
        <v>17</v>
      </c>
      <c r="F919" s="1" t="s">
        <v>18</v>
      </c>
      <c r="G919" s="1" t="s">
        <v>34</v>
      </c>
      <c r="H919">
        <v>14</v>
      </c>
      <c r="I919">
        <v>30</v>
      </c>
      <c r="J919">
        <v>1.9</v>
      </c>
      <c r="K919">
        <v>0</v>
      </c>
      <c r="L919">
        <v>0.62</v>
      </c>
      <c r="M919" s="1" t="s">
        <v>20</v>
      </c>
      <c r="N919" s="1" t="s">
        <v>36</v>
      </c>
      <c r="O919">
        <v>14</v>
      </c>
      <c r="P919">
        <v>5</v>
      </c>
      <c r="Q919" t="str">
        <f t="shared" si="71"/>
        <v>BRITTANY BARKER</v>
      </c>
      <c r="R919" t="str">
        <f t="shared" si="72"/>
        <v>italy</v>
      </c>
      <c r="S919" t="str">
        <f>PROPER(global_freelancer_raw[[#This Row],[NAME UPPER]])</f>
        <v>Brittany Barker</v>
      </c>
      <c r="T919" t="str">
        <f t="shared" si="73"/>
        <v>It</v>
      </c>
      <c r="U919" t="str">
        <f t="shared" si="70"/>
        <v>tany B</v>
      </c>
      <c r="V919" t="str">
        <f t="shared" si="74"/>
        <v>18</v>
      </c>
    </row>
    <row r="920" spans="1:22" x14ac:dyDescent="0.3">
      <c r="A920" s="1" t="s">
        <v>1922</v>
      </c>
      <c r="B920" s="1" t="s">
        <v>1923</v>
      </c>
      <c r="C920" s="1" t="s">
        <v>32</v>
      </c>
      <c r="D920">
        <v>46</v>
      </c>
      <c r="E920" s="1" t="s">
        <v>162</v>
      </c>
      <c r="F920" s="1" t="s">
        <v>163</v>
      </c>
      <c r="G920" s="1" t="s">
        <v>82</v>
      </c>
      <c r="H920">
        <v>6</v>
      </c>
      <c r="I920">
        <v>30</v>
      </c>
      <c r="J920">
        <v>1.5</v>
      </c>
      <c r="K920" t="s">
        <v>35</v>
      </c>
      <c r="M920" s="1" t="s">
        <v>20</v>
      </c>
      <c r="N920" s="1" t="s">
        <v>65</v>
      </c>
      <c r="O920">
        <v>12</v>
      </c>
      <c r="P920">
        <v>5</v>
      </c>
      <c r="Q920" t="str">
        <f t="shared" si="71"/>
        <v>PAUL CAMPBELL</v>
      </c>
      <c r="R920" t="str">
        <f t="shared" si="72"/>
        <v>south africa</v>
      </c>
      <c r="S920" t="str">
        <f>PROPER(global_freelancer_raw[[#This Row],[NAME UPPER]])</f>
        <v>Paul Campbell</v>
      </c>
      <c r="T920" t="str">
        <f t="shared" si="73"/>
        <v>So</v>
      </c>
      <c r="U920" t="str">
        <f t="shared" si="70"/>
        <v xml:space="preserve"> Campb</v>
      </c>
      <c r="V920" t="str">
        <f t="shared" si="74"/>
        <v>19</v>
      </c>
    </row>
    <row r="921" spans="1:22" x14ac:dyDescent="0.3">
      <c r="A921" s="1" t="s">
        <v>1924</v>
      </c>
      <c r="B921" s="1" t="s">
        <v>1925</v>
      </c>
      <c r="C921" s="1" t="s">
        <v>44</v>
      </c>
      <c r="D921">
        <v>53</v>
      </c>
      <c r="E921" s="1" t="s">
        <v>69</v>
      </c>
      <c r="F921" s="1" t="s">
        <v>70</v>
      </c>
      <c r="G921" s="1" t="s">
        <v>34</v>
      </c>
      <c r="H921">
        <v>14</v>
      </c>
      <c r="I921">
        <v>30</v>
      </c>
      <c r="J921">
        <v>0</v>
      </c>
      <c r="K921" t="b">
        <v>0</v>
      </c>
      <c r="L921">
        <v>0.83</v>
      </c>
      <c r="M921" s="1" t="s">
        <v>51</v>
      </c>
      <c r="N921" s="1" t="s">
        <v>36</v>
      </c>
      <c r="O921">
        <v>15</v>
      </c>
      <c r="P921">
        <v>5</v>
      </c>
      <c r="Q921" t="str">
        <f t="shared" si="71"/>
        <v>AMY MORROW</v>
      </c>
      <c r="R921" t="str">
        <f t="shared" si="72"/>
        <v>turkey</v>
      </c>
      <c r="S921" t="str">
        <f>PROPER(global_freelancer_raw[[#This Row],[NAME UPPER]])</f>
        <v>Amy Morrow</v>
      </c>
      <c r="T921" t="str">
        <f t="shared" si="73"/>
        <v>Tu</v>
      </c>
      <c r="U921" t="str">
        <f t="shared" si="70"/>
        <v>Morrow</v>
      </c>
      <c r="V921" t="str">
        <f t="shared" si="74"/>
        <v>20</v>
      </c>
    </row>
    <row r="922" spans="1:22" x14ac:dyDescent="0.3">
      <c r="A922" s="1" t="s">
        <v>1926</v>
      </c>
      <c r="B922" s="1" t="s">
        <v>1927</v>
      </c>
      <c r="C922" s="1" t="s">
        <v>16</v>
      </c>
      <c r="D922">
        <v>24</v>
      </c>
      <c r="E922" s="1" t="s">
        <v>64</v>
      </c>
      <c r="F922" s="1" t="s">
        <v>26</v>
      </c>
      <c r="G922" s="1" t="s">
        <v>40</v>
      </c>
      <c r="H922">
        <v>2</v>
      </c>
      <c r="I922">
        <v>30</v>
      </c>
      <c r="J922">
        <v>3.6</v>
      </c>
      <c r="L922">
        <v>0.92</v>
      </c>
      <c r="M922" s="1" t="s">
        <v>77</v>
      </c>
      <c r="N922" s="1" t="s">
        <v>36</v>
      </c>
      <c r="O922">
        <v>3</v>
      </c>
      <c r="P922">
        <v>1</v>
      </c>
      <c r="Q922" t="str">
        <f t="shared" si="71"/>
        <v>AMY FITZGERALD</v>
      </c>
      <c r="R922" t="str">
        <f t="shared" si="72"/>
        <v>us</v>
      </c>
      <c r="S922" t="str">
        <f>PROPER(global_freelancer_raw[[#This Row],[NAME UPPER]])</f>
        <v>Amy Fitzgerald</v>
      </c>
      <c r="T922" t="str">
        <f t="shared" si="73"/>
        <v>US</v>
      </c>
      <c r="U922" t="str">
        <f t="shared" si="70"/>
        <v>Fitzge</v>
      </c>
      <c r="V922" t="str">
        <f t="shared" si="74"/>
        <v>21</v>
      </c>
    </row>
    <row r="923" spans="1:22" x14ac:dyDescent="0.3">
      <c r="A923" s="1" t="s">
        <v>1928</v>
      </c>
      <c r="B923" s="1" t="s">
        <v>1929</v>
      </c>
      <c r="C923" s="1" t="s">
        <v>44</v>
      </c>
      <c r="D923">
        <v>49</v>
      </c>
      <c r="E923" s="1" t="s">
        <v>199</v>
      </c>
      <c r="F923" s="1" t="s">
        <v>81</v>
      </c>
      <c r="G923" s="1" t="s">
        <v>98</v>
      </c>
      <c r="H923">
        <v>4</v>
      </c>
      <c r="I923" t="s">
        <v>179</v>
      </c>
      <c r="J923">
        <v>2.1</v>
      </c>
      <c r="L923">
        <v>0.85</v>
      </c>
      <c r="M923" s="1" t="s">
        <v>20</v>
      </c>
      <c r="N923" s="1" t="s">
        <v>29</v>
      </c>
      <c r="O923">
        <v>5</v>
      </c>
      <c r="P923">
        <v>2</v>
      </c>
      <c r="Q923" t="str">
        <f t="shared" si="71"/>
        <v>ANITA BECKER</v>
      </c>
      <c r="R923" t="str">
        <f t="shared" si="72"/>
        <v>spain</v>
      </c>
      <c r="S923" t="str">
        <f>PROPER(global_freelancer_raw[[#This Row],[NAME UPPER]])</f>
        <v>Anita Becker</v>
      </c>
      <c r="T923" t="str">
        <f t="shared" si="73"/>
        <v>Sp</v>
      </c>
      <c r="U923" t="str">
        <f t="shared" si="70"/>
        <v>a Beck</v>
      </c>
      <c r="V923" t="str">
        <f t="shared" si="74"/>
        <v>22</v>
      </c>
    </row>
    <row r="924" spans="1:22" x14ac:dyDescent="0.3">
      <c r="A924" s="1" t="s">
        <v>1930</v>
      </c>
      <c r="B924" s="1" t="s">
        <v>1931</v>
      </c>
      <c r="C924" s="1" t="s">
        <v>39</v>
      </c>
      <c r="D924">
        <v>49</v>
      </c>
      <c r="E924" s="1" t="s">
        <v>121</v>
      </c>
      <c r="F924" s="1" t="s">
        <v>122</v>
      </c>
      <c r="G924" s="1" t="s">
        <v>49</v>
      </c>
      <c r="H924">
        <v>4</v>
      </c>
      <c r="I924">
        <v>75</v>
      </c>
      <c r="J924">
        <v>2.9</v>
      </c>
      <c r="K924" t="s">
        <v>35</v>
      </c>
      <c r="M924" s="1" t="s">
        <v>51</v>
      </c>
      <c r="N924" s="1" t="s">
        <v>29</v>
      </c>
      <c r="O924">
        <v>1</v>
      </c>
      <c r="P924">
        <v>1</v>
      </c>
      <c r="Q924" t="str">
        <f t="shared" si="71"/>
        <v>MRS. AMY BROOKS</v>
      </c>
      <c r="R924" t="str">
        <f t="shared" si="72"/>
        <v>south korea</v>
      </c>
      <c r="S924" t="str">
        <f>PROPER(global_freelancer_raw[[#This Row],[NAME UPPER]])</f>
        <v>Mrs. Amy Brooks</v>
      </c>
      <c r="T924" t="str">
        <f t="shared" si="73"/>
        <v>So</v>
      </c>
      <c r="U924" t="str">
        <f t="shared" si="70"/>
        <v xml:space="preserve"> Amy B</v>
      </c>
      <c r="V924" t="str">
        <f t="shared" si="74"/>
        <v>23</v>
      </c>
    </row>
    <row r="925" spans="1:22" x14ac:dyDescent="0.3">
      <c r="A925" s="1" t="s">
        <v>1932</v>
      </c>
      <c r="B925" s="1" t="s">
        <v>1933</v>
      </c>
      <c r="C925" s="1" t="s">
        <v>24</v>
      </c>
      <c r="D925">
        <v>49</v>
      </c>
      <c r="E925" s="1" t="s">
        <v>121</v>
      </c>
      <c r="F925" s="1" t="s">
        <v>122</v>
      </c>
      <c r="G925" s="1" t="s">
        <v>27</v>
      </c>
      <c r="H925">
        <v>24</v>
      </c>
      <c r="I925">
        <v>100</v>
      </c>
      <c r="J925">
        <v>3.6</v>
      </c>
      <c r="K925" t="b">
        <v>1</v>
      </c>
      <c r="M925" s="1" t="s">
        <v>20</v>
      </c>
      <c r="N925" s="1" t="s">
        <v>36</v>
      </c>
      <c r="O925">
        <v>11</v>
      </c>
      <c r="P925">
        <v>1</v>
      </c>
      <c r="Q925" t="str">
        <f t="shared" si="71"/>
        <v>LORI MARSHALL</v>
      </c>
      <c r="R925" t="str">
        <f t="shared" si="72"/>
        <v>south korea</v>
      </c>
      <c r="S925" t="str">
        <f>PROPER(global_freelancer_raw[[#This Row],[NAME UPPER]])</f>
        <v>Lori Marshall</v>
      </c>
      <c r="T925" t="str">
        <f t="shared" si="73"/>
        <v>So</v>
      </c>
      <c r="U925" t="str">
        <f t="shared" si="70"/>
        <v xml:space="preserve"> Marsh</v>
      </c>
      <c r="V925" t="str">
        <f t="shared" si="74"/>
        <v>24</v>
      </c>
    </row>
    <row r="926" spans="1:22" x14ac:dyDescent="0.3">
      <c r="A926" s="1" t="s">
        <v>1934</v>
      </c>
      <c r="B926" s="1" t="s">
        <v>1935</v>
      </c>
      <c r="C926" s="1" t="s">
        <v>86</v>
      </c>
      <c r="D926">
        <v>58</v>
      </c>
      <c r="E926" s="1" t="s">
        <v>116</v>
      </c>
      <c r="F926" s="1" t="s">
        <v>117</v>
      </c>
      <c r="G926" s="1" t="s">
        <v>19</v>
      </c>
      <c r="H926">
        <v>29</v>
      </c>
      <c r="I926">
        <v>30</v>
      </c>
      <c r="J926">
        <v>3.3</v>
      </c>
      <c r="K926" t="s">
        <v>76</v>
      </c>
      <c r="L926">
        <v>0.89</v>
      </c>
      <c r="M926" s="1" t="s">
        <v>72</v>
      </c>
      <c r="N926" s="1" t="s">
        <v>21</v>
      </c>
      <c r="O926">
        <v>12</v>
      </c>
      <c r="P926">
        <v>10</v>
      </c>
      <c r="Q926" t="str">
        <f t="shared" si="71"/>
        <v>JENNIFER MILLER</v>
      </c>
      <c r="R926" t="str">
        <f t="shared" si="72"/>
        <v>brazil</v>
      </c>
      <c r="S926" t="str">
        <f>PROPER(global_freelancer_raw[[#This Row],[NAME UPPER]])</f>
        <v>Jennifer Miller</v>
      </c>
      <c r="T926" t="str">
        <f t="shared" si="73"/>
        <v>Br</v>
      </c>
      <c r="U926" t="str">
        <f t="shared" si="70"/>
        <v>ifer M</v>
      </c>
      <c r="V926" t="str">
        <f t="shared" si="74"/>
        <v>25</v>
      </c>
    </row>
    <row r="927" spans="1:22" x14ac:dyDescent="0.3">
      <c r="A927" s="1" t="s">
        <v>1936</v>
      </c>
      <c r="B927" s="1" t="s">
        <v>1937</v>
      </c>
      <c r="C927" s="1" t="s">
        <v>68</v>
      </c>
      <c r="D927">
        <v>50</v>
      </c>
      <c r="E927" s="1" t="s">
        <v>162</v>
      </c>
      <c r="F927" s="1" t="s">
        <v>163</v>
      </c>
      <c r="G927" s="1" t="s">
        <v>82</v>
      </c>
      <c r="H927">
        <v>13</v>
      </c>
      <c r="J927">
        <v>2.5</v>
      </c>
      <c r="K927" t="s">
        <v>83</v>
      </c>
      <c r="L927">
        <v>0.81</v>
      </c>
      <c r="M927" s="1" t="s">
        <v>77</v>
      </c>
      <c r="N927" s="1" t="s">
        <v>36</v>
      </c>
      <c r="O927">
        <v>6</v>
      </c>
      <c r="P927">
        <v>3</v>
      </c>
      <c r="Q927" t="str">
        <f t="shared" si="71"/>
        <v>THOMAS YOUNG</v>
      </c>
      <c r="R927" t="str">
        <f t="shared" si="72"/>
        <v>south africa</v>
      </c>
      <c r="S927" t="str">
        <f>PROPER(global_freelancer_raw[[#This Row],[NAME UPPER]])</f>
        <v>Thomas Young</v>
      </c>
      <c r="T927" t="str">
        <f t="shared" si="73"/>
        <v>So</v>
      </c>
      <c r="U927" t="str">
        <f t="shared" si="70"/>
        <v>as You</v>
      </c>
      <c r="V927" t="str">
        <f t="shared" si="74"/>
        <v>26</v>
      </c>
    </row>
    <row r="928" spans="1:22" x14ac:dyDescent="0.3">
      <c r="A928" s="1" t="s">
        <v>1938</v>
      </c>
      <c r="B928" s="1" t="s">
        <v>1939</v>
      </c>
      <c r="C928" s="1" t="s">
        <v>101</v>
      </c>
      <c r="D928">
        <v>27</v>
      </c>
      <c r="E928" s="1" t="s">
        <v>162</v>
      </c>
      <c r="F928" s="1" t="s">
        <v>163</v>
      </c>
      <c r="G928" s="1" t="s">
        <v>98</v>
      </c>
      <c r="H928">
        <v>1</v>
      </c>
      <c r="I928" t="s">
        <v>28</v>
      </c>
      <c r="J928">
        <v>3.7</v>
      </c>
      <c r="K928" t="s">
        <v>83</v>
      </c>
      <c r="L928">
        <v>61</v>
      </c>
      <c r="M928" s="1" t="s">
        <v>77</v>
      </c>
      <c r="N928" s="1" t="s">
        <v>29</v>
      </c>
      <c r="O928">
        <v>5</v>
      </c>
      <c r="P928">
        <v>1</v>
      </c>
      <c r="Q928" t="str">
        <f t="shared" si="71"/>
        <v>ZACHARY LARSEN</v>
      </c>
      <c r="R928" t="str">
        <f t="shared" si="72"/>
        <v>south africa</v>
      </c>
      <c r="S928" t="str">
        <f>PROPER(global_freelancer_raw[[#This Row],[NAME UPPER]])</f>
        <v>Zachary Larsen</v>
      </c>
      <c r="T928" t="str">
        <f t="shared" si="73"/>
        <v>So</v>
      </c>
      <c r="U928" t="str">
        <f t="shared" si="70"/>
        <v>ary La</v>
      </c>
      <c r="V928" t="str">
        <f t="shared" si="74"/>
        <v>27</v>
      </c>
    </row>
    <row r="929" spans="1:22" x14ac:dyDescent="0.3">
      <c r="A929" s="1" t="s">
        <v>1940</v>
      </c>
      <c r="B929" s="1" t="s">
        <v>1941</v>
      </c>
      <c r="C929" s="1" t="s">
        <v>39</v>
      </c>
      <c r="D929">
        <v>20</v>
      </c>
      <c r="E929" s="1" t="s">
        <v>121</v>
      </c>
      <c r="F929" s="1" t="s">
        <v>122</v>
      </c>
      <c r="G929" s="1" t="s">
        <v>123</v>
      </c>
      <c r="I929" t="s">
        <v>50</v>
      </c>
      <c r="J929">
        <v>4.5999999999999996</v>
      </c>
      <c r="K929">
        <v>1</v>
      </c>
      <c r="M929" s="1" t="s">
        <v>51</v>
      </c>
      <c r="N929" s="1" t="s">
        <v>21</v>
      </c>
      <c r="O929">
        <v>1</v>
      </c>
      <c r="P929">
        <v>1</v>
      </c>
      <c r="Q929" t="str">
        <f t="shared" si="71"/>
        <v>VALERIE GUTIERREZ</v>
      </c>
      <c r="R929" t="str">
        <f t="shared" si="72"/>
        <v>south korea</v>
      </c>
      <c r="S929" t="str">
        <f>PROPER(global_freelancer_raw[[#This Row],[NAME UPPER]])</f>
        <v>Valerie Gutierrez</v>
      </c>
      <c r="T929" t="str">
        <f t="shared" si="73"/>
        <v>So</v>
      </c>
      <c r="U929" t="str">
        <f t="shared" si="70"/>
        <v>rie Gu</v>
      </c>
      <c r="V929" t="str">
        <f t="shared" si="74"/>
        <v>28</v>
      </c>
    </row>
    <row r="930" spans="1:22" x14ac:dyDescent="0.3">
      <c r="A930" s="1" t="s">
        <v>1942</v>
      </c>
      <c r="B930" s="1" t="s">
        <v>1943</v>
      </c>
      <c r="C930" s="1" t="s">
        <v>68</v>
      </c>
      <c r="D930">
        <v>52</v>
      </c>
      <c r="E930" s="1" t="s">
        <v>133</v>
      </c>
      <c r="F930" s="1" t="s">
        <v>134</v>
      </c>
      <c r="G930" s="1" t="s">
        <v>19</v>
      </c>
      <c r="H930">
        <v>15</v>
      </c>
      <c r="I930" t="s">
        <v>41</v>
      </c>
      <c r="J930">
        <v>0</v>
      </c>
      <c r="K930">
        <v>1</v>
      </c>
      <c r="L930">
        <v>0.92</v>
      </c>
      <c r="M930" s="1" t="s">
        <v>51</v>
      </c>
      <c r="N930" s="1" t="s">
        <v>21</v>
      </c>
      <c r="O930">
        <v>9</v>
      </c>
      <c r="P930">
        <v>9</v>
      </c>
      <c r="Q930" t="str">
        <f t="shared" si="71"/>
        <v>DANIEL PARKER</v>
      </c>
      <c r="R930" t="str">
        <f t="shared" si="72"/>
        <v>russia</v>
      </c>
      <c r="S930" t="str">
        <f>PROPER(global_freelancer_raw[[#This Row],[NAME UPPER]])</f>
        <v>Daniel Parker</v>
      </c>
      <c r="T930" t="str">
        <f t="shared" si="73"/>
        <v>Ru</v>
      </c>
      <c r="U930" t="str">
        <f t="shared" si="70"/>
        <v>el Par</v>
      </c>
      <c r="V930" t="str">
        <f t="shared" si="74"/>
        <v>29</v>
      </c>
    </row>
    <row r="931" spans="1:22" x14ac:dyDescent="0.3">
      <c r="A931" s="1" t="s">
        <v>1944</v>
      </c>
      <c r="B931" s="1" t="s">
        <v>1945</v>
      </c>
      <c r="C931" s="1" t="s">
        <v>86</v>
      </c>
      <c r="D931">
        <v>22</v>
      </c>
      <c r="E931" s="1" t="s">
        <v>144</v>
      </c>
      <c r="F931" s="1" t="s">
        <v>145</v>
      </c>
      <c r="G931" s="1" t="s">
        <v>123</v>
      </c>
      <c r="H931">
        <v>2</v>
      </c>
      <c r="I931">
        <v>30</v>
      </c>
      <c r="J931">
        <v>2</v>
      </c>
      <c r="K931" t="s">
        <v>168</v>
      </c>
      <c r="L931">
        <v>0.96</v>
      </c>
      <c r="M931" s="1" t="s">
        <v>77</v>
      </c>
      <c r="N931" s="1" t="s">
        <v>36</v>
      </c>
      <c r="O931">
        <v>2</v>
      </c>
      <c r="P931">
        <v>3</v>
      </c>
      <c r="Q931" t="str">
        <f t="shared" si="71"/>
        <v>NICOLE BENNETT</v>
      </c>
      <c r="R931" t="str">
        <f t="shared" si="72"/>
        <v>france</v>
      </c>
      <c r="S931" t="str">
        <f>PROPER(global_freelancer_raw[[#This Row],[NAME UPPER]])</f>
        <v>Nicole Bennett</v>
      </c>
      <c r="T931" t="str">
        <f t="shared" si="73"/>
        <v>Fr</v>
      </c>
      <c r="U931" t="str">
        <f t="shared" si="70"/>
        <v>le Ben</v>
      </c>
      <c r="V931" t="str">
        <f t="shared" si="74"/>
        <v>30</v>
      </c>
    </row>
    <row r="932" spans="1:22" x14ac:dyDescent="0.3">
      <c r="A932" s="1" t="s">
        <v>1946</v>
      </c>
      <c r="B932" s="1" t="s">
        <v>1947</v>
      </c>
      <c r="C932" s="1" t="s">
        <v>86</v>
      </c>
      <c r="D932">
        <v>38</v>
      </c>
      <c r="E932" s="1" t="s">
        <v>69</v>
      </c>
      <c r="F932" s="1" t="s">
        <v>70</v>
      </c>
      <c r="G932" s="1" t="s">
        <v>40</v>
      </c>
      <c r="H932">
        <v>14</v>
      </c>
      <c r="I932">
        <v>100</v>
      </c>
      <c r="J932">
        <v>1.7</v>
      </c>
      <c r="K932" t="b">
        <v>0</v>
      </c>
      <c r="L932">
        <v>0.66</v>
      </c>
      <c r="M932" s="1" t="s">
        <v>20</v>
      </c>
      <c r="N932" s="1" t="s">
        <v>29</v>
      </c>
      <c r="O932">
        <v>7</v>
      </c>
      <c r="P932">
        <v>1</v>
      </c>
      <c r="Q932" t="str">
        <f t="shared" si="71"/>
        <v>LAUREN LOWERY</v>
      </c>
      <c r="R932" t="str">
        <f t="shared" si="72"/>
        <v>turkey</v>
      </c>
      <c r="S932" t="str">
        <f>PROPER(global_freelancer_raw[[#This Row],[NAME UPPER]])</f>
        <v>Lauren Lowery</v>
      </c>
      <c r="T932" t="str">
        <f t="shared" si="73"/>
        <v>Tu</v>
      </c>
      <c r="U932" t="str">
        <f t="shared" si="70"/>
        <v>en Low</v>
      </c>
      <c r="V932" t="str">
        <f t="shared" si="74"/>
        <v>31</v>
      </c>
    </row>
    <row r="933" spans="1:22" x14ac:dyDescent="0.3">
      <c r="A933" s="1" t="s">
        <v>1948</v>
      </c>
      <c r="B933" s="1" t="s">
        <v>1949</v>
      </c>
      <c r="C933" s="1" t="s">
        <v>32</v>
      </c>
      <c r="D933">
        <v>21</v>
      </c>
      <c r="E933" s="1" t="s">
        <v>137</v>
      </c>
      <c r="F933" s="1" t="s">
        <v>26</v>
      </c>
      <c r="G933" s="1" t="s">
        <v>34</v>
      </c>
      <c r="H933">
        <v>0</v>
      </c>
      <c r="I933" t="s">
        <v>28</v>
      </c>
      <c r="J933">
        <v>3</v>
      </c>
      <c r="K933" t="s">
        <v>35</v>
      </c>
      <c r="L933">
        <v>0.64</v>
      </c>
      <c r="M933" s="1" t="s">
        <v>20</v>
      </c>
      <c r="N933" s="1" t="s">
        <v>29</v>
      </c>
      <c r="O933">
        <v>1</v>
      </c>
      <c r="P933">
        <v>3</v>
      </c>
      <c r="Q933" t="str">
        <f t="shared" si="71"/>
        <v>ALEXANDER WOODWARD</v>
      </c>
      <c r="R933" t="str">
        <f t="shared" si="72"/>
        <v>canada</v>
      </c>
      <c r="S933" t="str">
        <f>PROPER(global_freelancer_raw[[#This Row],[NAME UPPER]])</f>
        <v>Alexander Woodward</v>
      </c>
      <c r="T933" t="str">
        <f t="shared" si="73"/>
        <v>Ca</v>
      </c>
      <c r="U933" t="str">
        <f t="shared" si="70"/>
        <v xml:space="preserve">ander </v>
      </c>
      <c r="V933" t="str">
        <f t="shared" si="74"/>
        <v>32</v>
      </c>
    </row>
    <row r="934" spans="1:22" x14ac:dyDescent="0.3">
      <c r="A934" s="1" t="s">
        <v>1950</v>
      </c>
      <c r="B934" s="1" t="s">
        <v>1951</v>
      </c>
      <c r="C934" s="1" t="s">
        <v>68</v>
      </c>
      <c r="D934">
        <v>41</v>
      </c>
      <c r="E934" s="1" t="s">
        <v>25</v>
      </c>
      <c r="F934" s="1" t="s">
        <v>26</v>
      </c>
      <c r="G934" s="1" t="s">
        <v>49</v>
      </c>
      <c r="H934">
        <v>15</v>
      </c>
      <c r="I934">
        <v>40</v>
      </c>
      <c r="J934">
        <v>3.4</v>
      </c>
      <c r="K934" t="b">
        <v>0</v>
      </c>
      <c r="L934">
        <v>1</v>
      </c>
      <c r="M934" s="1" t="s">
        <v>72</v>
      </c>
      <c r="N934" s="1" t="s">
        <v>21</v>
      </c>
      <c r="O934">
        <v>8</v>
      </c>
      <c r="P934">
        <v>6</v>
      </c>
      <c r="Q934" t="str">
        <f t="shared" si="71"/>
        <v>ANTHONY WALTER</v>
      </c>
      <c r="R934" t="str">
        <f t="shared" si="72"/>
        <v>australia</v>
      </c>
      <c r="S934" t="str">
        <f>PROPER(global_freelancer_raw[[#This Row],[NAME UPPER]])</f>
        <v>Anthony Walter</v>
      </c>
      <c r="T934" t="str">
        <f t="shared" si="73"/>
        <v>Au</v>
      </c>
      <c r="U934" t="str">
        <f t="shared" si="70"/>
        <v>ony Wa</v>
      </c>
      <c r="V934" t="str">
        <f t="shared" si="74"/>
        <v>33</v>
      </c>
    </row>
    <row r="935" spans="1:22" x14ac:dyDescent="0.3">
      <c r="A935" s="1" t="s">
        <v>1952</v>
      </c>
      <c r="B935" s="1" t="s">
        <v>1953</v>
      </c>
      <c r="C935" s="1" t="s">
        <v>44</v>
      </c>
      <c r="D935">
        <v>33</v>
      </c>
      <c r="E935" s="1" t="s">
        <v>55</v>
      </c>
      <c r="F935" s="1" t="s">
        <v>56</v>
      </c>
      <c r="G935" s="1" t="s">
        <v>19</v>
      </c>
      <c r="H935">
        <v>6</v>
      </c>
      <c r="I935">
        <v>40</v>
      </c>
      <c r="J935">
        <v>3.2</v>
      </c>
      <c r="K935">
        <v>1</v>
      </c>
      <c r="L935">
        <v>0.95</v>
      </c>
      <c r="M935" s="1" t="s">
        <v>20</v>
      </c>
      <c r="N935" s="1" t="s">
        <v>36</v>
      </c>
      <c r="O935">
        <v>15</v>
      </c>
      <c r="P935">
        <v>6</v>
      </c>
      <c r="Q935" t="str">
        <f t="shared" si="71"/>
        <v>VALERIE FINLEY</v>
      </c>
      <c r="R935" t="str">
        <f t="shared" si="72"/>
        <v>indonesia</v>
      </c>
      <c r="S935" t="str">
        <f>PROPER(global_freelancer_raw[[#This Row],[NAME UPPER]])</f>
        <v>Valerie Finley</v>
      </c>
      <c r="T935" t="str">
        <f t="shared" si="73"/>
        <v>In</v>
      </c>
      <c r="U935" t="str">
        <f t="shared" si="70"/>
        <v>rie Fi</v>
      </c>
      <c r="V935" t="str">
        <f t="shared" si="74"/>
        <v>34</v>
      </c>
    </row>
    <row r="936" spans="1:22" x14ac:dyDescent="0.3">
      <c r="A936" s="1" t="s">
        <v>1954</v>
      </c>
      <c r="B936" s="1" t="s">
        <v>1955</v>
      </c>
      <c r="C936" s="1" t="s">
        <v>16</v>
      </c>
      <c r="D936">
        <v>38</v>
      </c>
      <c r="E936" s="1" t="s">
        <v>188</v>
      </c>
      <c r="F936" s="1" t="s">
        <v>81</v>
      </c>
      <c r="G936" s="1" t="s">
        <v>27</v>
      </c>
      <c r="H936">
        <v>11</v>
      </c>
      <c r="J936">
        <v>2.8</v>
      </c>
      <c r="L936">
        <v>91</v>
      </c>
      <c r="M936" s="1" t="s">
        <v>51</v>
      </c>
      <c r="N936" s="1" t="s">
        <v>65</v>
      </c>
      <c r="O936">
        <v>9</v>
      </c>
      <c r="P936">
        <v>5</v>
      </c>
      <c r="Q936" t="str">
        <f t="shared" si="71"/>
        <v>DEBORAH KELLEY</v>
      </c>
      <c r="R936" t="str">
        <f t="shared" si="72"/>
        <v>mexico</v>
      </c>
      <c r="S936" t="str">
        <f>PROPER(global_freelancer_raw[[#This Row],[NAME UPPER]])</f>
        <v>Deborah Kelley</v>
      </c>
      <c r="T936" t="str">
        <f t="shared" si="73"/>
        <v>Me</v>
      </c>
      <c r="U936" t="str">
        <f t="shared" si="70"/>
        <v>rah Ke</v>
      </c>
      <c r="V936" t="str">
        <f t="shared" si="74"/>
        <v>35</v>
      </c>
    </row>
    <row r="937" spans="1:22" x14ac:dyDescent="0.3">
      <c r="A937" s="1" t="s">
        <v>1956</v>
      </c>
      <c r="B937" s="1" t="s">
        <v>1957</v>
      </c>
      <c r="C937" s="1" t="s">
        <v>39</v>
      </c>
      <c r="D937">
        <v>26</v>
      </c>
      <c r="E937" s="1" t="s">
        <v>133</v>
      </c>
      <c r="F937" s="1" t="s">
        <v>134</v>
      </c>
      <c r="G937" s="1" t="s">
        <v>98</v>
      </c>
      <c r="H937">
        <v>8</v>
      </c>
      <c r="I937" t="s">
        <v>323</v>
      </c>
      <c r="J937">
        <v>4.0999999999999996</v>
      </c>
      <c r="K937" t="s">
        <v>76</v>
      </c>
      <c r="L937">
        <v>0.82</v>
      </c>
      <c r="M937" s="1" t="s">
        <v>51</v>
      </c>
      <c r="N937" s="1" t="s">
        <v>65</v>
      </c>
      <c r="O937">
        <v>12</v>
      </c>
      <c r="P937">
        <v>1</v>
      </c>
      <c r="Q937" t="str">
        <f t="shared" si="71"/>
        <v>KRISTINA MILLER</v>
      </c>
      <c r="R937" t="str">
        <f t="shared" si="72"/>
        <v>russia</v>
      </c>
      <c r="S937" t="str">
        <f>PROPER(global_freelancer_raw[[#This Row],[NAME UPPER]])</f>
        <v>Kristina Miller</v>
      </c>
      <c r="T937" t="str">
        <f t="shared" si="73"/>
        <v>Ru</v>
      </c>
      <c r="U937" t="str">
        <f t="shared" si="70"/>
        <v>tina M</v>
      </c>
      <c r="V937" t="str">
        <f t="shared" si="74"/>
        <v>36</v>
      </c>
    </row>
    <row r="938" spans="1:22" x14ac:dyDescent="0.3">
      <c r="A938" s="1" t="s">
        <v>1958</v>
      </c>
      <c r="B938" s="1" t="s">
        <v>1959</v>
      </c>
      <c r="C938" s="1" t="s">
        <v>16</v>
      </c>
      <c r="D938">
        <v>43</v>
      </c>
      <c r="E938" s="1" t="s">
        <v>47</v>
      </c>
      <c r="F938" s="1" t="s">
        <v>48</v>
      </c>
      <c r="G938" s="1" t="s">
        <v>49</v>
      </c>
      <c r="H938">
        <v>3</v>
      </c>
      <c r="I938">
        <v>20</v>
      </c>
      <c r="J938">
        <v>0</v>
      </c>
      <c r="K938" t="s">
        <v>83</v>
      </c>
      <c r="L938">
        <v>0.95</v>
      </c>
      <c r="M938" s="1" t="s">
        <v>20</v>
      </c>
      <c r="N938" s="1" t="s">
        <v>29</v>
      </c>
      <c r="O938">
        <v>3</v>
      </c>
      <c r="P938">
        <v>1</v>
      </c>
      <c r="Q938" t="str">
        <f t="shared" si="71"/>
        <v>ANNE HAMPTON</v>
      </c>
      <c r="R938" t="str">
        <f t="shared" si="72"/>
        <v>netherlands</v>
      </c>
      <c r="S938" t="str">
        <f>PROPER(global_freelancer_raw[[#This Row],[NAME UPPER]])</f>
        <v>Anne Hampton</v>
      </c>
      <c r="T938" t="str">
        <f t="shared" si="73"/>
        <v>Ne</v>
      </c>
      <c r="U938" t="str">
        <f t="shared" si="70"/>
        <v xml:space="preserve"> Hampt</v>
      </c>
      <c r="V938" t="str">
        <f t="shared" si="74"/>
        <v>37</v>
      </c>
    </row>
    <row r="939" spans="1:22" x14ac:dyDescent="0.3">
      <c r="A939" s="1" t="s">
        <v>1960</v>
      </c>
      <c r="B939" s="1" t="s">
        <v>1961</v>
      </c>
      <c r="C939" s="1" t="s">
        <v>86</v>
      </c>
      <c r="D939">
        <v>21</v>
      </c>
      <c r="E939" s="1" t="s">
        <v>17</v>
      </c>
      <c r="F939" s="1" t="s">
        <v>18</v>
      </c>
      <c r="G939" s="1" t="s">
        <v>87</v>
      </c>
      <c r="H939">
        <v>0</v>
      </c>
      <c r="J939">
        <v>0</v>
      </c>
      <c r="K939">
        <v>1</v>
      </c>
      <c r="L939">
        <v>0.95</v>
      </c>
      <c r="M939" s="1" t="s">
        <v>51</v>
      </c>
      <c r="N939" s="1" t="s">
        <v>65</v>
      </c>
      <c r="O939">
        <v>5</v>
      </c>
      <c r="P939">
        <v>3</v>
      </c>
      <c r="Q939" t="str">
        <f t="shared" si="71"/>
        <v>SANDRA HENRY</v>
      </c>
      <c r="R939" t="str">
        <f t="shared" si="72"/>
        <v>italy</v>
      </c>
      <c r="S939" t="str">
        <f>PROPER(global_freelancer_raw[[#This Row],[NAME UPPER]])</f>
        <v>Sandra Henry</v>
      </c>
      <c r="T939" t="str">
        <f t="shared" si="73"/>
        <v>It</v>
      </c>
      <c r="U939" t="str">
        <f t="shared" si="70"/>
        <v>ra Hen</v>
      </c>
      <c r="V939" t="str">
        <f t="shared" si="74"/>
        <v>38</v>
      </c>
    </row>
    <row r="940" spans="1:22" x14ac:dyDescent="0.3">
      <c r="A940" s="1" t="s">
        <v>1962</v>
      </c>
      <c r="B940" s="1" t="s">
        <v>1963</v>
      </c>
      <c r="C940" s="1" t="s">
        <v>68</v>
      </c>
      <c r="D940">
        <v>47</v>
      </c>
      <c r="E940" s="1" t="s">
        <v>121</v>
      </c>
      <c r="F940" s="1" t="s">
        <v>122</v>
      </c>
      <c r="G940" s="1" t="s">
        <v>27</v>
      </c>
      <c r="H940">
        <v>7</v>
      </c>
      <c r="I940" t="s">
        <v>118</v>
      </c>
      <c r="L940">
        <v>69</v>
      </c>
      <c r="M940" s="1" t="s">
        <v>77</v>
      </c>
      <c r="N940" s="1" t="s">
        <v>29</v>
      </c>
      <c r="O940">
        <v>7</v>
      </c>
      <c r="P940">
        <v>3</v>
      </c>
      <c r="Q940" t="str">
        <f t="shared" si="71"/>
        <v>TONY HESTER</v>
      </c>
      <c r="R940" t="str">
        <f t="shared" si="72"/>
        <v>south korea</v>
      </c>
      <c r="S940" t="str">
        <f>PROPER(global_freelancer_raw[[#This Row],[NAME UPPER]])</f>
        <v>Tony Hester</v>
      </c>
      <c r="T940" t="str">
        <f t="shared" si="73"/>
        <v>So</v>
      </c>
      <c r="U940" t="str">
        <f t="shared" si="70"/>
        <v xml:space="preserve"> Heste</v>
      </c>
      <c r="V940" t="str">
        <f t="shared" si="74"/>
        <v>39</v>
      </c>
    </row>
    <row r="941" spans="1:22" x14ac:dyDescent="0.3">
      <c r="A941" s="1" t="s">
        <v>1964</v>
      </c>
      <c r="B941" s="1" t="s">
        <v>1965</v>
      </c>
      <c r="C941" s="1" t="s">
        <v>68</v>
      </c>
      <c r="D941">
        <v>35</v>
      </c>
      <c r="E941" s="1" t="s">
        <v>199</v>
      </c>
      <c r="F941" s="1" t="s">
        <v>81</v>
      </c>
      <c r="G941" s="1" t="s">
        <v>34</v>
      </c>
      <c r="H941">
        <v>6</v>
      </c>
      <c r="I941">
        <v>40</v>
      </c>
      <c r="K941" t="s">
        <v>76</v>
      </c>
      <c r="L941">
        <v>0.91</v>
      </c>
      <c r="M941" s="1" t="s">
        <v>77</v>
      </c>
      <c r="N941" s="1" t="s">
        <v>29</v>
      </c>
      <c r="O941">
        <v>10</v>
      </c>
      <c r="P941">
        <v>10</v>
      </c>
      <c r="Q941" t="str">
        <f t="shared" si="71"/>
        <v>NATHAN DAVIS</v>
      </c>
      <c r="R941" t="str">
        <f t="shared" si="72"/>
        <v>spain</v>
      </c>
      <c r="S941" t="str">
        <f>PROPER(global_freelancer_raw[[#This Row],[NAME UPPER]])</f>
        <v>Nathan Davis</v>
      </c>
      <c r="T941" t="str">
        <f t="shared" si="73"/>
        <v>Sp</v>
      </c>
      <c r="U941" t="str">
        <f t="shared" si="70"/>
        <v>an Dav</v>
      </c>
      <c r="V941" t="str">
        <f t="shared" si="74"/>
        <v>40</v>
      </c>
    </row>
    <row r="942" spans="1:22" x14ac:dyDescent="0.3">
      <c r="A942" s="1" t="s">
        <v>1966</v>
      </c>
      <c r="B942" s="1" t="s">
        <v>1967</v>
      </c>
      <c r="C942" s="1" t="s">
        <v>86</v>
      </c>
      <c r="D942">
        <v>37</v>
      </c>
      <c r="E942" s="1" t="s">
        <v>55</v>
      </c>
      <c r="F942" s="1" t="s">
        <v>56</v>
      </c>
      <c r="G942" s="1" t="s">
        <v>27</v>
      </c>
      <c r="H942">
        <v>9</v>
      </c>
      <c r="I942" t="s">
        <v>50</v>
      </c>
      <c r="J942">
        <v>2.7</v>
      </c>
      <c r="K942">
        <v>1</v>
      </c>
      <c r="M942" s="1" t="s">
        <v>20</v>
      </c>
      <c r="N942" s="1" t="s">
        <v>29</v>
      </c>
      <c r="O942">
        <v>8</v>
      </c>
      <c r="P942">
        <v>10</v>
      </c>
      <c r="Q942" t="str">
        <f t="shared" si="71"/>
        <v>ERICA JACKSON</v>
      </c>
      <c r="R942" t="str">
        <f t="shared" si="72"/>
        <v>indonesia</v>
      </c>
      <c r="S942" t="str">
        <f>PROPER(global_freelancer_raw[[#This Row],[NAME UPPER]])</f>
        <v>Erica Jackson</v>
      </c>
      <c r="T942" t="str">
        <f t="shared" si="73"/>
        <v>In</v>
      </c>
      <c r="U942" t="str">
        <f t="shared" si="70"/>
        <v>a Jack</v>
      </c>
      <c r="V942" t="str">
        <f t="shared" si="74"/>
        <v>41</v>
      </c>
    </row>
    <row r="943" spans="1:22" x14ac:dyDescent="0.3">
      <c r="A943" s="1" t="s">
        <v>1968</v>
      </c>
      <c r="B943" s="1" t="s">
        <v>1969</v>
      </c>
      <c r="C943" s="1" t="s">
        <v>24</v>
      </c>
      <c r="D943">
        <v>38</v>
      </c>
      <c r="E943" s="1" t="s">
        <v>116</v>
      </c>
      <c r="F943" s="1" t="s">
        <v>117</v>
      </c>
      <c r="G943" s="1" t="s">
        <v>49</v>
      </c>
      <c r="H943">
        <v>15</v>
      </c>
      <c r="I943">
        <v>40</v>
      </c>
      <c r="J943">
        <v>4</v>
      </c>
      <c r="L943">
        <v>0.62</v>
      </c>
      <c r="M943" s="1" t="s">
        <v>77</v>
      </c>
      <c r="N943" s="1" t="s">
        <v>65</v>
      </c>
      <c r="O943">
        <v>7</v>
      </c>
      <c r="P943">
        <v>7</v>
      </c>
      <c r="Q943" t="str">
        <f t="shared" si="71"/>
        <v>NANCY GLOVER</v>
      </c>
      <c r="R943" t="str">
        <f t="shared" si="72"/>
        <v>brazil</v>
      </c>
      <c r="S943" t="str">
        <f>PROPER(global_freelancer_raw[[#This Row],[NAME UPPER]])</f>
        <v>Nancy Glover</v>
      </c>
      <c r="T943" t="str">
        <f t="shared" si="73"/>
        <v>Br</v>
      </c>
      <c r="U943" t="str">
        <f t="shared" si="70"/>
        <v>y Glov</v>
      </c>
      <c r="V943" t="str">
        <f t="shared" si="74"/>
        <v>42</v>
      </c>
    </row>
    <row r="944" spans="1:22" x14ac:dyDescent="0.3">
      <c r="A944" s="1" t="s">
        <v>1970</v>
      </c>
      <c r="B944" s="1" t="s">
        <v>1971</v>
      </c>
      <c r="C944" s="1" t="s">
        <v>68</v>
      </c>
      <c r="D944">
        <v>40</v>
      </c>
      <c r="E944" s="1" t="s">
        <v>137</v>
      </c>
      <c r="F944" s="1" t="s">
        <v>26</v>
      </c>
      <c r="G944" s="1" t="s">
        <v>57</v>
      </c>
      <c r="H944">
        <v>20</v>
      </c>
      <c r="I944">
        <v>20</v>
      </c>
      <c r="J944">
        <v>2.5</v>
      </c>
      <c r="K944">
        <v>0</v>
      </c>
      <c r="L944">
        <v>0.81</v>
      </c>
      <c r="M944" s="1" t="s">
        <v>77</v>
      </c>
      <c r="N944" s="1" t="s">
        <v>29</v>
      </c>
      <c r="O944">
        <v>10</v>
      </c>
      <c r="P944">
        <v>9</v>
      </c>
      <c r="Q944" t="str">
        <f t="shared" si="71"/>
        <v>RICHARD SANCHEZ</v>
      </c>
      <c r="R944" t="str">
        <f t="shared" si="72"/>
        <v>canada</v>
      </c>
      <c r="S944" t="str">
        <f>PROPER(global_freelancer_raw[[#This Row],[NAME UPPER]])</f>
        <v>Richard Sanchez</v>
      </c>
      <c r="T944" t="str">
        <f t="shared" si="73"/>
        <v>Ca</v>
      </c>
      <c r="U944" t="str">
        <f t="shared" si="70"/>
        <v>ard Sa</v>
      </c>
      <c r="V944" t="str">
        <f t="shared" si="74"/>
        <v>43</v>
      </c>
    </row>
    <row r="945" spans="1:22" x14ac:dyDescent="0.3">
      <c r="A945" s="1" t="s">
        <v>1972</v>
      </c>
      <c r="B945" s="1" t="s">
        <v>1973</v>
      </c>
      <c r="C945" s="1" t="s">
        <v>16</v>
      </c>
      <c r="D945">
        <v>46</v>
      </c>
      <c r="E945" s="1" t="s">
        <v>116</v>
      </c>
      <c r="F945" s="1" t="s">
        <v>117</v>
      </c>
      <c r="G945" s="1" t="s">
        <v>57</v>
      </c>
      <c r="H945">
        <v>16</v>
      </c>
      <c r="I945">
        <v>75</v>
      </c>
      <c r="J945">
        <v>0</v>
      </c>
      <c r="K945" t="s">
        <v>168</v>
      </c>
      <c r="L945">
        <v>0.94</v>
      </c>
      <c r="M945" s="1" t="s">
        <v>72</v>
      </c>
      <c r="N945" s="1" t="s">
        <v>21</v>
      </c>
      <c r="O945">
        <v>13</v>
      </c>
      <c r="P945">
        <v>6</v>
      </c>
      <c r="Q945" t="str">
        <f t="shared" si="71"/>
        <v>SAVANNAH REID</v>
      </c>
      <c r="R945" t="str">
        <f t="shared" si="72"/>
        <v>brazil</v>
      </c>
      <c r="S945" t="str">
        <f>PROPER(global_freelancer_raw[[#This Row],[NAME UPPER]])</f>
        <v>Savannah Reid</v>
      </c>
      <c r="T945" t="str">
        <f t="shared" si="73"/>
        <v>Br</v>
      </c>
      <c r="U945" t="str">
        <f t="shared" si="70"/>
        <v>nnah R</v>
      </c>
      <c r="V945" t="str">
        <f t="shared" si="74"/>
        <v>44</v>
      </c>
    </row>
    <row r="946" spans="1:22" x14ac:dyDescent="0.3">
      <c r="A946" s="1" t="s">
        <v>1974</v>
      </c>
      <c r="B946" s="1" t="s">
        <v>1975</v>
      </c>
      <c r="C946" s="1" t="s">
        <v>54</v>
      </c>
      <c r="D946">
        <v>56</v>
      </c>
      <c r="E946" s="1" t="s">
        <v>148</v>
      </c>
      <c r="F946" s="1" t="s">
        <v>149</v>
      </c>
      <c r="G946" s="1" t="s">
        <v>98</v>
      </c>
      <c r="H946">
        <v>22</v>
      </c>
      <c r="I946" t="s">
        <v>118</v>
      </c>
      <c r="K946" t="s">
        <v>168</v>
      </c>
      <c r="L946">
        <v>0.95</v>
      </c>
      <c r="M946" s="1" t="s">
        <v>72</v>
      </c>
      <c r="N946" s="1" t="s">
        <v>36</v>
      </c>
      <c r="O946">
        <v>13</v>
      </c>
      <c r="P946">
        <v>2</v>
      </c>
      <c r="Q946" t="str">
        <f t="shared" si="71"/>
        <v>ROBERT SALAZAR</v>
      </c>
      <c r="R946" t="str">
        <f t="shared" si="72"/>
        <v>egypt</v>
      </c>
      <c r="S946" t="str">
        <f>PROPER(global_freelancer_raw[[#This Row],[NAME UPPER]])</f>
        <v>Robert Salazar</v>
      </c>
      <c r="T946" t="str">
        <f t="shared" si="73"/>
        <v>Eg</v>
      </c>
      <c r="U946" t="str">
        <f t="shared" si="70"/>
        <v>rt Sal</v>
      </c>
      <c r="V946" t="str">
        <f t="shared" si="74"/>
        <v>45</v>
      </c>
    </row>
    <row r="947" spans="1:22" x14ac:dyDescent="0.3">
      <c r="A947" s="1" t="s">
        <v>1976</v>
      </c>
      <c r="B947" s="1" t="s">
        <v>1977</v>
      </c>
      <c r="C947" s="1" t="s">
        <v>54</v>
      </c>
      <c r="D947">
        <v>24</v>
      </c>
      <c r="E947" s="1" t="s">
        <v>69</v>
      </c>
      <c r="F947" s="1" t="s">
        <v>70</v>
      </c>
      <c r="G947" s="1" t="s">
        <v>34</v>
      </c>
      <c r="H947">
        <v>2</v>
      </c>
      <c r="J947">
        <v>1.6</v>
      </c>
      <c r="K947" t="s">
        <v>168</v>
      </c>
      <c r="L947">
        <v>1</v>
      </c>
      <c r="M947" s="1" t="s">
        <v>77</v>
      </c>
      <c r="N947" s="1" t="s">
        <v>36</v>
      </c>
      <c r="O947">
        <v>2</v>
      </c>
      <c r="P947">
        <v>1</v>
      </c>
      <c r="Q947" t="str">
        <f t="shared" si="71"/>
        <v>HECTOR GREER</v>
      </c>
      <c r="R947" t="str">
        <f t="shared" si="72"/>
        <v>turkey</v>
      </c>
      <c r="S947" t="str">
        <f>PROPER(global_freelancer_raw[[#This Row],[NAME UPPER]])</f>
        <v>Hector Greer</v>
      </c>
      <c r="T947" t="str">
        <f t="shared" si="73"/>
        <v>Tu</v>
      </c>
      <c r="U947" t="str">
        <f t="shared" si="70"/>
        <v>or Gre</v>
      </c>
      <c r="V947" t="str">
        <f t="shared" si="74"/>
        <v>46</v>
      </c>
    </row>
    <row r="948" spans="1:22" x14ac:dyDescent="0.3">
      <c r="A948" s="1" t="s">
        <v>1978</v>
      </c>
      <c r="B948" s="1" t="s">
        <v>1979</v>
      </c>
      <c r="C948" s="1" t="s">
        <v>101</v>
      </c>
      <c r="E948" s="1" t="s">
        <v>188</v>
      </c>
      <c r="F948" s="1" t="s">
        <v>81</v>
      </c>
      <c r="G948" s="1" t="s">
        <v>49</v>
      </c>
      <c r="H948">
        <v>1</v>
      </c>
      <c r="I948">
        <v>75</v>
      </c>
      <c r="J948">
        <v>0</v>
      </c>
      <c r="K948" t="b">
        <v>1</v>
      </c>
      <c r="L948">
        <v>0.94</v>
      </c>
      <c r="M948" s="1" t="s">
        <v>20</v>
      </c>
      <c r="N948" s="1" t="s">
        <v>29</v>
      </c>
      <c r="O948">
        <v>5</v>
      </c>
      <c r="P948">
        <v>3</v>
      </c>
      <c r="Q948" t="str">
        <f t="shared" si="71"/>
        <v>THOMAS JACKSON</v>
      </c>
      <c r="R948" t="str">
        <f t="shared" si="72"/>
        <v>mexico</v>
      </c>
      <c r="S948" t="str">
        <f>PROPER(global_freelancer_raw[[#This Row],[NAME UPPER]])</f>
        <v>Thomas Jackson</v>
      </c>
      <c r="T948" t="str">
        <f t="shared" si="73"/>
        <v>Me</v>
      </c>
      <c r="U948" t="str">
        <f t="shared" si="70"/>
        <v>as Jac</v>
      </c>
      <c r="V948" t="str">
        <f t="shared" si="74"/>
        <v>47</v>
      </c>
    </row>
    <row r="949" spans="1:22" x14ac:dyDescent="0.3">
      <c r="A949" s="1" t="s">
        <v>1980</v>
      </c>
      <c r="B949" s="1" t="s">
        <v>1981</v>
      </c>
      <c r="C949" s="1" t="s">
        <v>39</v>
      </c>
      <c r="D949">
        <v>38</v>
      </c>
      <c r="E949" s="1" t="s">
        <v>69</v>
      </c>
      <c r="F949" s="1" t="s">
        <v>70</v>
      </c>
      <c r="G949" s="1" t="s">
        <v>27</v>
      </c>
      <c r="H949">
        <v>8</v>
      </c>
      <c r="I949">
        <v>30</v>
      </c>
      <c r="J949">
        <v>4</v>
      </c>
      <c r="K949">
        <v>1</v>
      </c>
      <c r="L949">
        <v>0.92</v>
      </c>
      <c r="M949" s="1" t="s">
        <v>72</v>
      </c>
      <c r="N949" s="1" t="s">
        <v>36</v>
      </c>
      <c r="O949">
        <v>8</v>
      </c>
      <c r="P949">
        <v>10</v>
      </c>
      <c r="Q949" t="str">
        <f t="shared" si="71"/>
        <v>TINA CLARK</v>
      </c>
      <c r="R949" t="str">
        <f t="shared" si="72"/>
        <v>turkey</v>
      </c>
      <c r="S949" t="str">
        <f>PROPER(global_freelancer_raw[[#This Row],[NAME UPPER]])</f>
        <v>Tina Clark</v>
      </c>
      <c r="T949" t="str">
        <f t="shared" si="73"/>
        <v>Tu</v>
      </c>
      <c r="U949" t="str">
        <f t="shared" si="70"/>
        <v xml:space="preserve"> Clark</v>
      </c>
      <c r="V949" t="str">
        <f t="shared" si="74"/>
        <v>48</v>
      </c>
    </row>
    <row r="950" spans="1:22" x14ac:dyDescent="0.3">
      <c r="A950" s="1" t="s">
        <v>1982</v>
      </c>
      <c r="B950" s="1" t="s">
        <v>1983</v>
      </c>
      <c r="C950" s="1" t="s">
        <v>86</v>
      </c>
      <c r="D950">
        <v>28</v>
      </c>
      <c r="E950" s="1" t="s">
        <v>144</v>
      </c>
      <c r="F950" s="1" t="s">
        <v>145</v>
      </c>
      <c r="G950" s="1" t="s">
        <v>98</v>
      </c>
      <c r="H950">
        <v>8</v>
      </c>
      <c r="I950" t="s">
        <v>107</v>
      </c>
      <c r="J950">
        <v>2.5</v>
      </c>
      <c r="K950" t="b">
        <v>1</v>
      </c>
      <c r="L950">
        <v>0.95</v>
      </c>
      <c r="M950" s="1" t="s">
        <v>51</v>
      </c>
      <c r="N950" s="1" t="s">
        <v>65</v>
      </c>
      <c r="O950">
        <v>9</v>
      </c>
      <c r="P950">
        <v>6</v>
      </c>
      <c r="Q950" t="str">
        <f t="shared" si="71"/>
        <v>HEATHER BROWN</v>
      </c>
      <c r="R950" t="str">
        <f t="shared" si="72"/>
        <v>france</v>
      </c>
      <c r="S950" t="str">
        <f>PROPER(global_freelancer_raw[[#This Row],[NAME UPPER]])</f>
        <v>Heather Brown</v>
      </c>
      <c r="T950" t="str">
        <f t="shared" si="73"/>
        <v>Fr</v>
      </c>
      <c r="U950" t="str">
        <f t="shared" si="70"/>
        <v>her Br</v>
      </c>
      <c r="V950" t="str">
        <f t="shared" si="74"/>
        <v>49</v>
      </c>
    </row>
    <row r="951" spans="1:22" x14ac:dyDescent="0.3">
      <c r="A951" s="1" t="s">
        <v>1984</v>
      </c>
      <c r="B951" s="1" t="s">
        <v>1985</v>
      </c>
      <c r="C951" s="1" t="s">
        <v>54</v>
      </c>
      <c r="D951">
        <v>25</v>
      </c>
      <c r="E951" s="1" t="s">
        <v>116</v>
      </c>
      <c r="F951" s="1" t="s">
        <v>117</v>
      </c>
      <c r="G951" s="1" t="s">
        <v>98</v>
      </c>
      <c r="H951">
        <v>7</v>
      </c>
      <c r="I951" t="s">
        <v>130</v>
      </c>
      <c r="J951">
        <v>3.8</v>
      </c>
      <c r="L951">
        <v>0.97</v>
      </c>
      <c r="M951" s="1" t="s">
        <v>51</v>
      </c>
      <c r="N951" s="1" t="s">
        <v>65</v>
      </c>
      <c r="O951">
        <v>8</v>
      </c>
      <c r="P951">
        <v>2</v>
      </c>
      <c r="Q951" t="str">
        <f t="shared" si="71"/>
        <v>JOHN WEAVER</v>
      </c>
      <c r="R951" t="str">
        <f t="shared" si="72"/>
        <v>brazil</v>
      </c>
      <c r="S951" t="str">
        <f>PROPER(global_freelancer_raw[[#This Row],[NAME UPPER]])</f>
        <v>John Weaver</v>
      </c>
      <c r="T951" t="str">
        <f t="shared" si="73"/>
        <v>Br</v>
      </c>
      <c r="U951" t="str">
        <f t="shared" si="70"/>
        <v xml:space="preserve"> Weave</v>
      </c>
      <c r="V951" t="str">
        <f t="shared" si="74"/>
        <v>50</v>
      </c>
    </row>
    <row r="952" spans="1:22" x14ac:dyDescent="0.3">
      <c r="A952" s="1" t="s">
        <v>1986</v>
      </c>
      <c r="B952" s="1" t="s">
        <v>1987</v>
      </c>
      <c r="C952" s="1" t="s">
        <v>106</v>
      </c>
      <c r="D952">
        <v>41</v>
      </c>
      <c r="E952" s="1" t="s">
        <v>75</v>
      </c>
      <c r="F952" s="1" t="s">
        <v>26</v>
      </c>
      <c r="G952" s="1" t="s">
        <v>98</v>
      </c>
      <c r="H952">
        <v>8</v>
      </c>
      <c r="I952">
        <v>50</v>
      </c>
      <c r="J952">
        <v>4.8</v>
      </c>
      <c r="K952" t="s">
        <v>35</v>
      </c>
      <c r="L952">
        <v>0.75</v>
      </c>
      <c r="M952" s="1" t="s">
        <v>51</v>
      </c>
      <c r="N952" s="1" t="s">
        <v>36</v>
      </c>
      <c r="O952">
        <v>14</v>
      </c>
      <c r="P952">
        <v>6</v>
      </c>
      <c r="Q952" t="str">
        <f t="shared" si="71"/>
        <v>BRADLEY HARRIS</v>
      </c>
      <c r="R952" t="str">
        <f t="shared" si="72"/>
        <v>uk</v>
      </c>
      <c r="S952" t="str">
        <f>PROPER(global_freelancer_raw[[#This Row],[NAME UPPER]])</f>
        <v>Bradley Harris</v>
      </c>
      <c r="T952" t="str">
        <f t="shared" si="73"/>
        <v>UK</v>
      </c>
      <c r="U952" t="str">
        <f t="shared" si="70"/>
        <v>ley Ha</v>
      </c>
      <c r="V952" t="str">
        <f t="shared" si="74"/>
        <v>51</v>
      </c>
    </row>
    <row r="953" spans="1:22" x14ac:dyDescent="0.3">
      <c r="A953" s="1" t="s">
        <v>1988</v>
      </c>
      <c r="B953" s="1" t="s">
        <v>1989</v>
      </c>
      <c r="C953" s="1" t="s">
        <v>16</v>
      </c>
      <c r="D953">
        <v>45</v>
      </c>
      <c r="E953" s="1" t="s">
        <v>188</v>
      </c>
      <c r="F953" s="1" t="s">
        <v>81</v>
      </c>
      <c r="G953" s="1" t="s">
        <v>57</v>
      </c>
      <c r="H953">
        <v>6</v>
      </c>
      <c r="I953">
        <v>40</v>
      </c>
      <c r="J953">
        <v>2</v>
      </c>
      <c r="K953">
        <v>1</v>
      </c>
      <c r="L953">
        <v>0.78</v>
      </c>
      <c r="M953" s="1" t="s">
        <v>20</v>
      </c>
      <c r="N953" s="1" t="s">
        <v>65</v>
      </c>
      <c r="O953">
        <v>13</v>
      </c>
      <c r="P953">
        <v>14</v>
      </c>
      <c r="Q953" t="str">
        <f t="shared" si="71"/>
        <v>CASSANDRA MACDONALD</v>
      </c>
      <c r="R953" t="str">
        <f t="shared" si="72"/>
        <v>mexico</v>
      </c>
      <c r="S953" t="str">
        <f>PROPER(global_freelancer_raw[[#This Row],[NAME UPPER]])</f>
        <v>Cassandra Macdonald</v>
      </c>
      <c r="T953" t="str">
        <f t="shared" si="73"/>
        <v>Me</v>
      </c>
      <c r="U953" t="str">
        <f t="shared" si="70"/>
        <v xml:space="preserve">andra </v>
      </c>
      <c r="V953" t="str">
        <f t="shared" si="74"/>
        <v>52</v>
      </c>
    </row>
    <row r="954" spans="1:22" x14ac:dyDescent="0.3">
      <c r="A954" s="1" t="s">
        <v>1990</v>
      </c>
      <c r="B954" s="1" t="s">
        <v>1991</v>
      </c>
      <c r="C954" s="1" t="s">
        <v>54</v>
      </c>
      <c r="D954">
        <v>47</v>
      </c>
      <c r="E954" s="1" t="s">
        <v>69</v>
      </c>
      <c r="F954" s="1" t="s">
        <v>70</v>
      </c>
      <c r="G954" s="1" t="s">
        <v>98</v>
      </c>
      <c r="H954">
        <v>16</v>
      </c>
      <c r="I954" t="s">
        <v>238</v>
      </c>
      <c r="J954">
        <v>3.3</v>
      </c>
      <c r="K954">
        <v>0</v>
      </c>
      <c r="L954">
        <v>0.65</v>
      </c>
      <c r="M954" s="1" t="s">
        <v>77</v>
      </c>
      <c r="N954" s="1" t="s">
        <v>36</v>
      </c>
      <c r="O954">
        <v>10</v>
      </c>
      <c r="P954">
        <v>17</v>
      </c>
      <c r="Q954" t="str">
        <f t="shared" si="71"/>
        <v>MATTHEW WHITE</v>
      </c>
      <c r="R954" t="str">
        <f t="shared" si="72"/>
        <v>turkey</v>
      </c>
      <c r="S954" t="str">
        <f>PROPER(global_freelancer_raw[[#This Row],[NAME UPPER]])</f>
        <v>Matthew White</v>
      </c>
      <c r="T954" t="str">
        <f t="shared" si="73"/>
        <v>Tu</v>
      </c>
      <c r="U954" t="str">
        <f t="shared" si="70"/>
        <v>hew Wh</v>
      </c>
      <c r="V954" t="str">
        <f t="shared" si="74"/>
        <v>53</v>
      </c>
    </row>
    <row r="955" spans="1:22" x14ac:dyDescent="0.3">
      <c r="A955" s="1" t="s">
        <v>1992</v>
      </c>
      <c r="B955" s="1" t="s">
        <v>1993</v>
      </c>
      <c r="C955" s="1" t="s">
        <v>39</v>
      </c>
      <c r="D955">
        <v>59</v>
      </c>
      <c r="E955" s="1" t="s">
        <v>75</v>
      </c>
      <c r="F955" s="1" t="s">
        <v>26</v>
      </c>
      <c r="G955" s="1" t="s">
        <v>57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s="1" t="s">
        <v>51</v>
      </c>
      <c r="N955" s="1" t="s">
        <v>36</v>
      </c>
      <c r="O955">
        <v>19</v>
      </c>
      <c r="P955">
        <v>12</v>
      </c>
      <c r="Q955" t="str">
        <f t="shared" si="71"/>
        <v>MISS KIMBERLY MARSHALL</v>
      </c>
      <c r="R955" t="str">
        <f t="shared" si="72"/>
        <v>uk</v>
      </c>
      <c r="S955" t="str">
        <f>PROPER(global_freelancer_raw[[#This Row],[NAME UPPER]])</f>
        <v>Miss Kimberly Marshall</v>
      </c>
      <c r="T955" t="str">
        <f t="shared" si="73"/>
        <v>UK</v>
      </c>
      <c r="U955" t="str">
        <f t="shared" si="70"/>
        <v xml:space="preserve"> Kimbe</v>
      </c>
      <c r="V955" t="str">
        <f t="shared" si="74"/>
        <v>54</v>
      </c>
    </row>
    <row r="956" spans="1:22" x14ac:dyDescent="0.3">
      <c r="A956" s="1" t="s">
        <v>1994</v>
      </c>
      <c r="B956" s="1" t="s">
        <v>1995</v>
      </c>
      <c r="C956" s="1" t="s">
        <v>86</v>
      </c>
      <c r="D956">
        <v>25</v>
      </c>
      <c r="E956" s="1" t="s">
        <v>137</v>
      </c>
      <c r="F956" s="1" t="s">
        <v>26</v>
      </c>
      <c r="G956" s="1" t="s">
        <v>19</v>
      </c>
      <c r="H956">
        <v>6</v>
      </c>
      <c r="I956" t="s">
        <v>238</v>
      </c>
      <c r="K956" t="s">
        <v>83</v>
      </c>
      <c r="L956">
        <v>78</v>
      </c>
      <c r="M956" s="1" t="s">
        <v>20</v>
      </c>
      <c r="N956" s="1" t="s">
        <v>36</v>
      </c>
      <c r="O956">
        <v>10</v>
      </c>
      <c r="P956">
        <v>2</v>
      </c>
      <c r="Q956" t="str">
        <f t="shared" si="71"/>
        <v>LAURA THOMPSON</v>
      </c>
      <c r="R956" t="str">
        <f t="shared" si="72"/>
        <v>canada</v>
      </c>
      <c r="S956" t="str">
        <f>PROPER(global_freelancer_raw[[#This Row],[NAME UPPER]])</f>
        <v>Laura Thompson</v>
      </c>
      <c r="T956" t="str">
        <f t="shared" si="73"/>
        <v>Ca</v>
      </c>
      <c r="U956" t="str">
        <f t="shared" si="70"/>
        <v>a Thom</v>
      </c>
      <c r="V956" t="str">
        <f t="shared" si="74"/>
        <v>55</v>
      </c>
    </row>
    <row r="957" spans="1:22" x14ac:dyDescent="0.3">
      <c r="A957" s="1" t="s">
        <v>1996</v>
      </c>
      <c r="B957" s="1" t="s">
        <v>1997</v>
      </c>
      <c r="C957" s="1" t="s">
        <v>106</v>
      </c>
      <c r="D957">
        <v>27</v>
      </c>
      <c r="E957" s="1" t="s">
        <v>25</v>
      </c>
      <c r="F957" s="1" t="s">
        <v>26</v>
      </c>
      <c r="G957" s="1" t="s">
        <v>40</v>
      </c>
      <c r="H957">
        <v>3</v>
      </c>
      <c r="I957" t="s">
        <v>107</v>
      </c>
      <c r="K957">
        <v>1</v>
      </c>
      <c r="L957">
        <v>0.96</v>
      </c>
      <c r="M957" s="1" t="s">
        <v>72</v>
      </c>
      <c r="N957" s="1" t="s">
        <v>29</v>
      </c>
      <c r="O957">
        <v>1</v>
      </c>
      <c r="P957">
        <v>3</v>
      </c>
      <c r="Q957" t="str">
        <f t="shared" si="71"/>
        <v>NATHAN SOTO</v>
      </c>
      <c r="R957" t="str">
        <f t="shared" si="72"/>
        <v>australia</v>
      </c>
      <c r="S957" t="str">
        <f>PROPER(global_freelancer_raw[[#This Row],[NAME UPPER]])</f>
        <v>Nathan Soto</v>
      </c>
      <c r="T957" t="str">
        <f t="shared" si="73"/>
        <v>Au</v>
      </c>
      <c r="U957" t="str">
        <f t="shared" si="70"/>
        <v>an Sot</v>
      </c>
      <c r="V957" t="str">
        <f t="shared" si="74"/>
        <v>56</v>
      </c>
    </row>
    <row r="958" spans="1:22" x14ac:dyDescent="0.3">
      <c r="A958" s="1" t="s">
        <v>1998</v>
      </c>
      <c r="B958" s="1" t="s">
        <v>1999</v>
      </c>
      <c r="C958" s="1" t="s">
        <v>39</v>
      </c>
      <c r="D958">
        <v>57</v>
      </c>
      <c r="E958" s="1" t="s">
        <v>25</v>
      </c>
      <c r="F958" s="1" t="s">
        <v>26</v>
      </c>
      <c r="G958" s="1" t="s">
        <v>49</v>
      </c>
      <c r="H958">
        <v>5</v>
      </c>
      <c r="I958" t="s">
        <v>28</v>
      </c>
      <c r="J958">
        <v>0</v>
      </c>
      <c r="K958">
        <v>1</v>
      </c>
      <c r="L958">
        <v>0.8</v>
      </c>
      <c r="M958" s="1" t="s">
        <v>77</v>
      </c>
      <c r="N958" s="1" t="s">
        <v>36</v>
      </c>
      <c r="O958">
        <v>4</v>
      </c>
      <c r="P958">
        <v>2</v>
      </c>
      <c r="Q958" t="str">
        <f t="shared" si="71"/>
        <v>RHONDA HINES</v>
      </c>
      <c r="R958" t="str">
        <f t="shared" si="72"/>
        <v>australia</v>
      </c>
      <c r="S958" t="str">
        <f>PROPER(global_freelancer_raw[[#This Row],[NAME UPPER]])</f>
        <v>Rhonda Hines</v>
      </c>
      <c r="T958" t="str">
        <f t="shared" si="73"/>
        <v>Au</v>
      </c>
      <c r="U958" t="str">
        <f t="shared" si="70"/>
        <v>da Hin</v>
      </c>
      <c r="V958" t="str">
        <f t="shared" si="74"/>
        <v>57</v>
      </c>
    </row>
    <row r="959" spans="1:22" x14ac:dyDescent="0.3">
      <c r="A959" s="1" t="s">
        <v>2000</v>
      </c>
      <c r="B959" s="1" t="s">
        <v>2001</v>
      </c>
      <c r="C959" s="1" t="s">
        <v>39</v>
      </c>
      <c r="D959">
        <v>34</v>
      </c>
      <c r="E959" s="1" t="s">
        <v>69</v>
      </c>
      <c r="F959" s="1" t="s">
        <v>70</v>
      </c>
      <c r="G959" s="1" t="s">
        <v>82</v>
      </c>
      <c r="H959">
        <v>12</v>
      </c>
      <c r="I959" t="s">
        <v>130</v>
      </c>
      <c r="J959">
        <v>1.6</v>
      </c>
      <c r="K959" t="s">
        <v>76</v>
      </c>
      <c r="L959">
        <v>0.64</v>
      </c>
      <c r="M959" s="1" t="s">
        <v>72</v>
      </c>
      <c r="N959" s="1" t="s">
        <v>29</v>
      </c>
      <c r="O959">
        <v>12</v>
      </c>
      <c r="P959">
        <v>2</v>
      </c>
      <c r="Q959" t="str">
        <f t="shared" si="71"/>
        <v>GABRIELLE BOWMAN</v>
      </c>
      <c r="R959" t="str">
        <f t="shared" si="72"/>
        <v>turkey</v>
      </c>
      <c r="S959" t="str">
        <f>PROPER(global_freelancer_raw[[#This Row],[NAME UPPER]])</f>
        <v>Gabrielle Bowman</v>
      </c>
      <c r="T959" t="str">
        <f t="shared" si="73"/>
        <v>Tu</v>
      </c>
      <c r="U959" t="str">
        <f t="shared" si="70"/>
        <v xml:space="preserve">ielle </v>
      </c>
      <c r="V959" t="str">
        <f t="shared" si="74"/>
        <v>58</v>
      </c>
    </row>
    <row r="960" spans="1:22" x14ac:dyDescent="0.3">
      <c r="A960" s="1" t="s">
        <v>2002</v>
      </c>
      <c r="B960" s="1" t="s">
        <v>2003</v>
      </c>
      <c r="C960" s="1" t="s">
        <v>101</v>
      </c>
      <c r="D960">
        <v>55</v>
      </c>
      <c r="E960" s="1" t="s">
        <v>144</v>
      </c>
      <c r="F960" s="1" t="s">
        <v>145</v>
      </c>
      <c r="G960" s="1" t="s">
        <v>82</v>
      </c>
      <c r="H960">
        <v>33</v>
      </c>
      <c r="I960">
        <v>50</v>
      </c>
      <c r="J960">
        <v>0</v>
      </c>
      <c r="K960" t="b">
        <v>0</v>
      </c>
      <c r="L960">
        <v>0.92</v>
      </c>
      <c r="M960" s="1" t="s">
        <v>20</v>
      </c>
      <c r="N960" s="1" t="s">
        <v>36</v>
      </c>
      <c r="O960">
        <v>19</v>
      </c>
      <c r="P960">
        <v>5</v>
      </c>
      <c r="Q960" t="str">
        <f t="shared" si="71"/>
        <v>JULIAN EDWARDS</v>
      </c>
      <c r="R960" t="str">
        <f t="shared" si="72"/>
        <v>france</v>
      </c>
      <c r="S960" t="str">
        <f>PROPER(global_freelancer_raw[[#This Row],[NAME UPPER]])</f>
        <v>Julian Edwards</v>
      </c>
      <c r="T960" t="str">
        <f t="shared" si="73"/>
        <v>Fr</v>
      </c>
      <c r="U960" t="str">
        <f t="shared" si="70"/>
        <v>an Edw</v>
      </c>
      <c r="V960" t="str">
        <f t="shared" si="74"/>
        <v>59</v>
      </c>
    </row>
    <row r="961" spans="1:22" x14ac:dyDescent="0.3">
      <c r="A961" s="1" t="s">
        <v>2004</v>
      </c>
      <c r="B961" s="1" t="s">
        <v>2005</v>
      </c>
      <c r="C961" s="1" t="s">
        <v>32</v>
      </c>
      <c r="D961">
        <v>21</v>
      </c>
      <c r="E961" s="1" t="s">
        <v>148</v>
      </c>
      <c r="F961" s="1" t="s">
        <v>149</v>
      </c>
      <c r="G961" s="1" t="s">
        <v>19</v>
      </c>
      <c r="H961">
        <v>1</v>
      </c>
      <c r="I961">
        <v>100</v>
      </c>
      <c r="J961">
        <v>0</v>
      </c>
      <c r="K961">
        <v>1</v>
      </c>
      <c r="M961" s="1" t="s">
        <v>51</v>
      </c>
      <c r="N961" s="1" t="s">
        <v>36</v>
      </c>
      <c r="O961">
        <v>3</v>
      </c>
      <c r="P961">
        <v>2</v>
      </c>
      <c r="Q961" t="str">
        <f t="shared" si="71"/>
        <v>NICHOLAS SCOTT</v>
      </c>
      <c r="R961" t="str">
        <f t="shared" si="72"/>
        <v>egypt</v>
      </c>
      <c r="S961" t="str">
        <f>PROPER(global_freelancer_raw[[#This Row],[NAME UPPER]])</f>
        <v>Nicholas Scott</v>
      </c>
      <c r="T961" t="str">
        <f t="shared" si="73"/>
        <v>Eg</v>
      </c>
      <c r="U961" t="str">
        <f t="shared" si="70"/>
        <v>olas S</v>
      </c>
      <c r="V961" t="str">
        <f t="shared" si="74"/>
        <v>60</v>
      </c>
    </row>
    <row r="962" spans="1:22" x14ac:dyDescent="0.3">
      <c r="A962" s="1" t="s">
        <v>2006</v>
      </c>
      <c r="B962" s="1" t="s">
        <v>2007</v>
      </c>
      <c r="C962" s="1" t="s">
        <v>68</v>
      </c>
      <c r="D962">
        <v>53</v>
      </c>
      <c r="E962" s="1" t="s">
        <v>47</v>
      </c>
      <c r="F962" s="1" t="s">
        <v>48</v>
      </c>
      <c r="G962" s="1" t="s">
        <v>98</v>
      </c>
      <c r="H962">
        <v>27</v>
      </c>
      <c r="I962" t="s">
        <v>323</v>
      </c>
      <c r="J962">
        <v>4.7</v>
      </c>
      <c r="K962" t="s">
        <v>76</v>
      </c>
      <c r="L962">
        <v>71</v>
      </c>
      <c r="M962" s="1" t="s">
        <v>51</v>
      </c>
      <c r="N962" s="1" t="s">
        <v>36</v>
      </c>
      <c r="O962">
        <v>11</v>
      </c>
      <c r="P962">
        <v>10</v>
      </c>
      <c r="Q962" t="str">
        <f t="shared" si="71"/>
        <v>DANIEL GREEN</v>
      </c>
      <c r="R962" t="str">
        <f t="shared" si="72"/>
        <v>netherlands</v>
      </c>
      <c r="S962" t="str">
        <f>PROPER(global_freelancer_raw[[#This Row],[NAME UPPER]])</f>
        <v>Daniel Green</v>
      </c>
      <c r="T962" t="str">
        <f t="shared" si="73"/>
        <v>Ne</v>
      </c>
      <c r="U962" t="str">
        <f t="shared" ref="U962:U1003" si="75">MID(B962,5,6)</f>
        <v>el Gre</v>
      </c>
      <c r="V962" t="str">
        <f t="shared" si="74"/>
        <v>61</v>
      </c>
    </row>
    <row r="963" spans="1:22" x14ac:dyDescent="0.3">
      <c r="A963" s="1" t="s">
        <v>2008</v>
      </c>
      <c r="B963" s="1" t="s">
        <v>2009</v>
      </c>
      <c r="C963" s="1" t="s">
        <v>16</v>
      </c>
      <c r="D963">
        <v>21</v>
      </c>
      <c r="E963" s="1" t="s">
        <v>33</v>
      </c>
      <c r="F963" s="1" t="s">
        <v>33</v>
      </c>
      <c r="G963" s="1" t="s">
        <v>82</v>
      </c>
      <c r="H963">
        <v>1</v>
      </c>
      <c r="I963" t="s">
        <v>238</v>
      </c>
      <c r="J963">
        <v>0</v>
      </c>
      <c r="K963" t="s">
        <v>76</v>
      </c>
      <c r="L963">
        <v>0.95</v>
      </c>
      <c r="M963" s="1" t="s">
        <v>20</v>
      </c>
      <c r="N963" s="1" t="s">
        <v>65</v>
      </c>
      <c r="O963">
        <v>5</v>
      </c>
      <c r="P963">
        <v>5</v>
      </c>
      <c r="Q963" t="str">
        <f t="shared" ref="Q963:Q1001" si="76">UPPER(B963)</f>
        <v>CATHERINE JOHNSTON</v>
      </c>
      <c r="R963" t="str">
        <f t="shared" ref="R963:R1001" si="77">LOWER(E963)</f>
        <v>germany</v>
      </c>
      <c r="S963" t="str">
        <f>PROPER(global_freelancer_raw[[#This Row],[NAME UPPER]])</f>
        <v>Catherine Johnston</v>
      </c>
      <c r="T963" t="str">
        <f t="shared" ref="T963:T1001" si="78">LEFT(E963,"2")</f>
        <v>Ge</v>
      </c>
      <c r="U963" t="str">
        <f t="shared" si="75"/>
        <v xml:space="preserve">erine </v>
      </c>
      <c r="V963" t="str">
        <f t="shared" ref="V963:V1001" si="79">RIGHT(A963,"2")</f>
        <v>62</v>
      </c>
    </row>
    <row r="964" spans="1:22" x14ac:dyDescent="0.3">
      <c r="A964" s="1" t="s">
        <v>2010</v>
      </c>
      <c r="B964" s="1" t="s">
        <v>2011</v>
      </c>
      <c r="C964" s="1" t="s">
        <v>24</v>
      </c>
      <c r="D964">
        <v>36</v>
      </c>
      <c r="E964" s="1" t="s">
        <v>116</v>
      </c>
      <c r="F964" s="1" t="s">
        <v>117</v>
      </c>
      <c r="G964" s="1" t="s">
        <v>40</v>
      </c>
      <c r="I964">
        <v>20</v>
      </c>
      <c r="J964">
        <v>4.0999999999999996</v>
      </c>
      <c r="K964" t="s">
        <v>35</v>
      </c>
      <c r="L964">
        <v>0.86</v>
      </c>
      <c r="M964" s="1" t="s">
        <v>51</v>
      </c>
      <c r="N964" s="1" t="s">
        <v>29</v>
      </c>
      <c r="O964">
        <v>4</v>
      </c>
      <c r="P964">
        <v>1</v>
      </c>
      <c r="Q964" t="str">
        <f t="shared" si="76"/>
        <v>BRENDA KOCH</v>
      </c>
      <c r="R964" t="str">
        <f t="shared" si="77"/>
        <v>brazil</v>
      </c>
      <c r="S964" t="str">
        <f>PROPER(global_freelancer_raw[[#This Row],[NAME UPPER]])</f>
        <v>Brenda Koch</v>
      </c>
      <c r="T964" t="str">
        <f t="shared" si="78"/>
        <v>Br</v>
      </c>
      <c r="U964" t="str">
        <f t="shared" si="75"/>
        <v>da Koc</v>
      </c>
      <c r="V964" t="str">
        <f t="shared" si="79"/>
        <v>63</v>
      </c>
    </row>
    <row r="965" spans="1:22" x14ac:dyDescent="0.3">
      <c r="A965" s="1" t="s">
        <v>2012</v>
      </c>
      <c r="B965" s="1" t="s">
        <v>2013</v>
      </c>
      <c r="C965" s="1" t="s">
        <v>32</v>
      </c>
      <c r="D965">
        <v>40</v>
      </c>
      <c r="E965" s="1" t="s">
        <v>33</v>
      </c>
      <c r="F965" s="1" t="s">
        <v>33</v>
      </c>
      <c r="G965" s="1" t="s">
        <v>49</v>
      </c>
      <c r="H965">
        <v>2</v>
      </c>
      <c r="I965" t="s">
        <v>50</v>
      </c>
      <c r="J965">
        <v>1.3</v>
      </c>
      <c r="K965">
        <v>1</v>
      </c>
      <c r="L965">
        <v>0.77</v>
      </c>
      <c r="M965" s="1" t="s">
        <v>77</v>
      </c>
      <c r="N965" s="1" t="s">
        <v>29</v>
      </c>
      <c r="O965">
        <v>4</v>
      </c>
      <c r="P965">
        <v>3</v>
      </c>
      <c r="Q965" t="str">
        <f t="shared" si="76"/>
        <v>MR. ROBERT MEZA</v>
      </c>
      <c r="R965" t="str">
        <f t="shared" si="77"/>
        <v>germany</v>
      </c>
      <c r="S965" t="str">
        <f>PROPER(global_freelancer_raw[[#This Row],[NAME UPPER]])</f>
        <v>Mr. Robert Meza</v>
      </c>
      <c r="T965" t="str">
        <f t="shared" si="78"/>
        <v>Ge</v>
      </c>
      <c r="U965" t="str">
        <f t="shared" si="75"/>
        <v>Robert</v>
      </c>
      <c r="V965" t="str">
        <f t="shared" si="79"/>
        <v>64</v>
      </c>
    </row>
    <row r="966" spans="1:22" x14ac:dyDescent="0.3">
      <c r="A966" s="1" t="s">
        <v>2014</v>
      </c>
      <c r="B966" s="1" t="s">
        <v>2015</v>
      </c>
      <c r="C966" s="1" t="s">
        <v>86</v>
      </c>
      <c r="D966">
        <v>59</v>
      </c>
      <c r="E966" s="1" t="s">
        <v>75</v>
      </c>
      <c r="F966" s="1" t="s">
        <v>26</v>
      </c>
      <c r="G966" s="1" t="s">
        <v>82</v>
      </c>
      <c r="H966">
        <v>40</v>
      </c>
      <c r="I966">
        <v>100</v>
      </c>
      <c r="J966">
        <v>2.6</v>
      </c>
      <c r="M966" s="1" t="s">
        <v>20</v>
      </c>
      <c r="N966" s="1" t="s">
        <v>36</v>
      </c>
      <c r="O966">
        <v>16</v>
      </c>
      <c r="P966">
        <v>5</v>
      </c>
      <c r="Q966" t="str">
        <f t="shared" si="76"/>
        <v>LATOYA BROWN</v>
      </c>
      <c r="R966" t="str">
        <f t="shared" si="77"/>
        <v>uk</v>
      </c>
      <c r="S966" t="str">
        <f>PROPER(global_freelancer_raw[[#This Row],[NAME UPPER]])</f>
        <v>Latoya Brown</v>
      </c>
      <c r="T966" t="str">
        <f t="shared" si="78"/>
        <v>UK</v>
      </c>
      <c r="U966" t="str">
        <f t="shared" si="75"/>
        <v>ya Bro</v>
      </c>
      <c r="V966" t="str">
        <f t="shared" si="79"/>
        <v>65</v>
      </c>
    </row>
    <row r="967" spans="1:22" x14ac:dyDescent="0.3">
      <c r="A967" s="1" t="s">
        <v>2016</v>
      </c>
      <c r="B967" s="1" t="s">
        <v>2017</v>
      </c>
      <c r="C967" s="1" t="s">
        <v>54</v>
      </c>
      <c r="D967">
        <v>45</v>
      </c>
      <c r="E967" s="1" t="s">
        <v>47</v>
      </c>
      <c r="F967" s="1" t="s">
        <v>48</v>
      </c>
      <c r="G967" s="1" t="s">
        <v>87</v>
      </c>
      <c r="H967">
        <v>4</v>
      </c>
      <c r="I967" t="s">
        <v>130</v>
      </c>
      <c r="J967">
        <v>2.7</v>
      </c>
      <c r="L967">
        <v>0.72</v>
      </c>
      <c r="M967" s="1" t="s">
        <v>72</v>
      </c>
      <c r="N967" s="1" t="s">
        <v>36</v>
      </c>
      <c r="O967">
        <v>5</v>
      </c>
      <c r="P967">
        <v>1</v>
      </c>
      <c r="Q967" t="str">
        <f t="shared" si="76"/>
        <v>DAVID OSBORNE III</v>
      </c>
      <c r="R967" t="str">
        <f t="shared" si="77"/>
        <v>netherlands</v>
      </c>
      <c r="S967" t="str">
        <f>PROPER(global_freelancer_raw[[#This Row],[NAME UPPER]])</f>
        <v>David Osborne Iii</v>
      </c>
      <c r="T967" t="str">
        <f t="shared" si="78"/>
        <v>Ne</v>
      </c>
      <c r="U967" t="str">
        <f t="shared" si="75"/>
        <v>d Osbo</v>
      </c>
      <c r="V967" t="str">
        <f t="shared" si="79"/>
        <v>66</v>
      </c>
    </row>
    <row r="968" spans="1:22" x14ac:dyDescent="0.3">
      <c r="A968" s="1" t="s">
        <v>2018</v>
      </c>
      <c r="B968" s="1" t="s">
        <v>2019</v>
      </c>
      <c r="C968" s="1" t="s">
        <v>68</v>
      </c>
      <c r="D968">
        <v>44</v>
      </c>
      <c r="E968" s="1" t="s">
        <v>121</v>
      </c>
      <c r="F968" s="1" t="s">
        <v>122</v>
      </c>
      <c r="G968" s="1" t="s">
        <v>123</v>
      </c>
      <c r="H968">
        <v>9</v>
      </c>
      <c r="I968">
        <v>40</v>
      </c>
      <c r="K968">
        <v>0</v>
      </c>
      <c r="L968">
        <v>0.7</v>
      </c>
      <c r="M968" s="1" t="s">
        <v>20</v>
      </c>
      <c r="N968" s="1" t="s">
        <v>65</v>
      </c>
      <c r="O968">
        <v>9</v>
      </c>
      <c r="P968">
        <v>2</v>
      </c>
      <c r="Q968" t="str">
        <f t="shared" si="76"/>
        <v>DAVID HOOPER</v>
      </c>
      <c r="R968" t="str">
        <f t="shared" si="77"/>
        <v>south korea</v>
      </c>
      <c r="S968" t="str">
        <f>PROPER(global_freelancer_raw[[#This Row],[NAME UPPER]])</f>
        <v>David Hooper</v>
      </c>
      <c r="T968" t="str">
        <f t="shared" si="78"/>
        <v>So</v>
      </c>
      <c r="U968" t="str">
        <f t="shared" si="75"/>
        <v>d Hoop</v>
      </c>
      <c r="V968" t="str">
        <f t="shared" si="79"/>
        <v>67</v>
      </c>
    </row>
    <row r="969" spans="1:22" x14ac:dyDescent="0.3">
      <c r="A969" s="1" t="s">
        <v>2020</v>
      </c>
      <c r="B969" s="1" t="s">
        <v>2021</v>
      </c>
      <c r="C969" s="1" t="s">
        <v>24</v>
      </c>
      <c r="D969">
        <v>36</v>
      </c>
      <c r="E969" s="1" t="s">
        <v>75</v>
      </c>
      <c r="F969" s="1" t="s">
        <v>26</v>
      </c>
      <c r="G969" s="1" t="s">
        <v>87</v>
      </c>
      <c r="H969">
        <v>13</v>
      </c>
      <c r="I969">
        <v>30</v>
      </c>
      <c r="J969">
        <v>3.6</v>
      </c>
      <c r="K969">
        <v>0</v>
      </c>
      <c r="L969">
        <v>0.86</v>
      </c>
      <c r="M969" s="1" t="s">
        <v>77</v>
      </c>
      <c r="N969" s="1" t="s">
        <v>65</v>
      </c>
      <c r="O969">
        <v>8</v>
      </c>
      <c r="P969">
        <v>3</v>
      </c>
      <c r="Q969" t="str">
        <f t="shared" si="76"/>
        <v>SARAH MILLER</v>
      </c>
      <c r="R969" t="str">
        <f t="shared" si="77"/>
        <v>uk</v>
      </c>
      <c r="S969" t="str">
        <f>PROPER(global_freelancer_raw[[#This Row],[NAME UPPER]])</f>
        <v>Sarah Miller</v>
      </c>
      <c r="T969" t="str">
        <f t="shared" si="78"/>
        <v>UK</v>
      </c>
      <c r="U969" t="str">
        <f t="shared" si="75"/>
        <v>h Mill</v>
      </c>
      <c r="V969" t="str">
        <f t="shared" si="79"/>
        <v>68</v>
      </c>
    </row>
    <row r="970" spans="1:22" x14ac:dyDescent="0.3">
      <c r="A970" s="1" t="s">
        <v>2022</v>
      </c>
      <c r="B970" s="1" t="s">
        <v>2023</v>
      </c>
      <c r="C970" s="1" t="s">
        <v>86</v>
      </c>
      <c r="D970">
        <v>26</v>
      </c>
      <c r="E970" s="1" t="s">
        <v>102</v>
      </c>
      <c r="F970" s="1" t="s">
        <v>103</v>
      </c>
      <c r="G970" s="1" t="s">
        <v>34</v>
      </c>
      <c r="H970">
        <v>1</v>
      </c>
      <c r="I970">
        <v>75</v>
      </c>
      <c r="J970">
        <v>3</v>
      </c>
      <c r="K970">
        <v>1</v>
      </c>
      <c r="M970" s="1" t="s">
        <v>77</v>
      </c>
      <c r="N970" s="1" t="s">
        <v>65</v>
      </c>
      <c r="O970">
        <v>4</v>
      </c>
      <c r="P970">
        <v>3</v>
      </c>
      <c r="Q970" t="str">
        <f t="shared" si="76"/>
        <v>LISA WERNER MD</v>
      </c>
      <c r="R970" t="str">
        <f t="shared" si="77"/>
        <v>india</v>
      </c>
      <c r="S970" t="str">
        <f>PROPER(global_freelancer_raw[[#This Row],[NAME UPPER]])</f>
        <v>Lisa Werner Md</v>
      </c>
      <c r="T970" t="str">
        <f t="shared" si="78"/>
        <v>In</v>
      </c>
      <c r="U970" t="str">
        <f t="shared" si="75"/>
        <v xml:space="preserve"> Werne</v>
      </c>
      <c r="V970" t="str">
        <f t="shared" si="79"/>
        <v>69</v>
      </c>
    </row>
    <row r="971" spans="1:22" x14ac:dyDescent="0.3">
      <c r="A971" s="1" t="s">
        <v>2024</v>
      </c>
      <c r="B971" s="1" t="s">
        <v>2025</v>
      </c>
      <c r="C971" s="1" t="s">
        <v>54</v>
      </c>
      <c r="D971">
        <v>49</v>
      </c>
      <c r="E971" s="1" t="s">
        <v>102</v>
      </c>
      <c r="F971" s="1" t="s">
        <v>103</v>
      </c>
      <c r="G971" s="1" t="s">
        <v>40</v>
      </c>
      <c r="H971">
        <v>1</v>
      </c>
      <c r="J971">
        <v>0</v>
      </c>
      <c r="K971">
        <v>0</v>
      </c>
      <c r="L971">
        <v>0.82</v>
      </c>
      <c r="M971" s="1" t="s">
        <v>20</v>
      </c>
      <c r="N971" s="1" t="s">
        <v>29</v>
      </c>
      <c r="O971">
        <v>1</v>
      </c>
      <c r="P971">
        <v>1</v>
      </c>
      <c r="Q971" t="str">
        <f t="shared" si="76"/>
        <v>ERIC JIMENEZ</v>
      </c>
      <c r="R971" t="str">
        <f t="shared" si="77"/>
        <v>india</v>
      </c>
      <c r="S971" t="str">
        <f>PROPER(global_freelancer_raw[[#This Row],[NAME UPPER]])</f>
        <v>Eric Jimenez</v>
      </c>
      <c r="T971" t="str">
        <f t="shared" si="78"/>
        <v>In</v>
      </c>
      <c r="U971" t="str">
        <f t="shared" si="75"/>
        <v xml:space="preserve"> Jimen</v>
      </c>
      <c r="V971" t="str">
        <f t="shared" si="79"/>
        <v>70</v>
      </c>
    </row>
    <row r="972" spans="1:22" x14ac:dyDescent="0.3">
      <c r="A972" s="1" t="s">
        <v>2026</v>
      </c>
      <c r="B972" s="1" t="s">
        <v>2027</v>
      </c>
      <c r="C972" s="1" t="s">
        <v>54</v>
      </c>
      <c r="D972">
        <v>29</v>
      </c>
      <c r="E972" s="1" t="s">
        <v>144</v>
      </c>
      <c r="F972" s="1" t="s">
        <v>145</v>
      </c>
      <c r="G972" s="1" t="s">
        <v>27</v>
      </c>
      <c r="H972">
        <v>3</v>
      </c>
      <c r="I972" t="s">
        <v>61</v>
      </c>
      <c r="J972">
        <v>0</v>
      </c>
      <c r="K972" t="b">
        <v>1</v>
      </c>
      <c r="L972">
        <v>0.81</v>
      </c>
      <c r="M972" s="1" t="s">
        <v>20</v>
      </c>
      <c r="N972" s="1" t="s">
        <v>29</v>
      </c>
      <c r="O972">
        <v>5</v>
      </c>
      <c r="P972">
        <v>1</v>
      </c>
      <c r="Q972" t="str">
        <f t="shared" si="76"/>
        <v>JAY BUSH</v>
      </c>
      <c r="R972" t="str">
        <f t="shared" si="77"/>
        <v>france</v>
      </c>
      <c r="S972" t="str">
        <f>PROPER(global_freelancer_raw[[#This Row],[NAME UPPER]])</f>
        <v>Jay Bush</v>
      </c>
      <c r="T972" t="str">
        <f t="shared" si="78"/>
        <v>Fr</v>
      </c>
      <c r="U972" t="str">
        <f t="shared" si="75"/>
        <v>Bush</v>
      </c>
      <c r="V972" t="str">
        <f t="shared" si="79"/>
        <v>71</v>
      </c>
    </row>
    <row r="973" spans="1:22" x14ac:dyDescent="0.3">
      <c r="A973" s="1" t="s">
        <v>2028</v>
      </c>
      <c r="B973" s="1" t="s">
        <v>2029</v>
      </c>
      <c r="C973" s="1" t="s">
        <v>54</v>
      </c>
      <c r="D973">
        <v>32</v>
      </c>
      <c r="E973" s="1" t="s">
        <v>144</v>
      </c>
      <c r="F973" s="1" t="s">
        <v>145</v>
      </c>
      <c r="G973" s="1" t="s">
        <v>34</v>
      </c>
      <c r="H973">
        <v>1</v>
      </c>
      <c r="I973" t="s">
        <v>41</v>
      </c>
      <c r="J973">
        <v>3.1</v>
      </c>
      <c r="K973">
        <v>1</v>
      </c>
      <c r="L973">
        <v>0.76</v>
      </c>
      <c r="M973" s="1" t="s">
        <v>51</v>
      </c>
      <c r="N973" s="1" t="s">
        <v>29</v>
      </c>
      <c r="O973">
        <v>1</v>
      </c>
      <c r="P973">
        <v>2</v>
      </c>
      <c r="Q973" t="str">
        <f t="shared" si="76"/>
        <v>JOHNNY RICE</v>
      </c>
      <c r="R973" t="str">
        <f t="shared" si="77"/>
        <v>france</v>
      </c>
      <c r="S973" t="str">
        <f>PROPER(global_freelancer_raw[[#This Row],[NAME UPPER]])</f>
        <v>Johnny Rice</v>
      </c>
      <c r="T973" t="str">
        <f t="shared" si="78"/>
        <v>Fr</v>
      </c>
      <c r="U973" t="str">
        <f t="shared" si="75"/>
        <v>ny Ric</v>
      </c>
      <c r="V973" t="str">
        <f t="shared" si="79"/>
        <v>72</v>
      </c>
    </row>
    <row r="974" spans="1:22" x14ac:dyDescent="0.3">
      <c r="A974" s="1" t="s">
        <v>2030</v>
      </c>
      <c r="B974" s="1" t="s">
        <v>2031</v>
      </c>
      <c r="C974" s="1" t="s">
        <v>68</v>
      </c>
      <c r="D974">
        <v>24</v>
      </c>
      <c r="E974" s="1" t="s">
        <v>55</v>
      </c>
      <c r="F974" s="1" t="s">
        <v>56</v>
      </c>
      <c r="G974" s="1" t="s">
        <v>19</v>
      </c>
      <c r="H974">
        <v>3</v>
      </c>
      <c r="I974" t="s">
        <v>118</v>
      </c>
      <c r="J974">
        <v>3.9</v>
      </c>
      <c r="K974" t="s">
        <v>35</v>
      </c>
      <c r="L974">
        <v>0.9</v>
      </c>
      <c r="M974" s="1" t="s">
        <v>77</v>
      </c>
      <c r="N974" s="1" t="s">
        <v>36</v>
      </c>
      <c r="O974">
        <v>5</v>
      </c>
      <c r="P974">
        <v>1</v>
      </c>
      <c r="Q974" t="str">
        <f t="shared" si="76"/>
        <v>MATTHEW STRONG</v>
      </c>
      <c r="R974" t="str">
        <f t="shared" si="77"/>
        <v>indonesia</v>
      </c>
      <c r="S974" t="str">
        <f>PROPER(global_freelancer_raw[[#This Row],[NAME UPPER]])</f>
        <v>Matthew Strong</v>
      </c>
      <c r="T974" t="str">
        <f t="shared" si="78"/>
        <v>In</v>
      </c>
      <c r="U974" t="str">
        <f t="shared" si="75"/>
        <v>hew St</v>
      </c>
      <c r="V974" t="str">
        <f t="shared" si="79"/>
        <v>73</v>
      </c>
    </row>
    <row r="975" spans="1:22" x14ac:dyDescent="0.3">
      <c r="A975" s="1" t="s">
        <v>2032</v>
      </c>
      <c r="B975" s="1" t="s">
        <v>2033</v>
      </c>
      <c r="C975" s="1" t="s">
        <v>68</v>
      </c>
      <c r="D975">
        <v>35</v>
      </c>
      <c r="E975" s="1" t="s">
        <v>121</v>
      </c>
      <c r="F975" s="1" t="s">
        <v>122</v>
      </c>
      <c r="G975" s="1" t="s">
        <v>98</v>
      </c>
      <c r="H975">
        <v>14</v>
      </c>
      <c r="I975">
        <v>30</v>
      </c>
      <c r="J975">
        <v>1.6</v>
      </c>
      <c r="K975" t="s">
        <v>83</v>
      </c>
      <c r="L975">
        <v>0.67</v>
      </c>
      <c r="M975" s="1" t="s">
        <v>20</v>
      </c>
      <c r="N975" s="1" t="s">
        <v>29</v>
      </c>
      <c r="O975">
        <v>8</v>
      </c>
      <c r="P975">
        <v>9</v>
      </c>
      <c r="Q975" t="str">
        <f t="shared" si="76"/>
        <v>MARK CHANDLER</v>
      </c>
      <c r="R975" t="str">
        <f t="shared" si="77"/>
        <v>south korea</v>
      </c>
      <c r="S975" t="str">
        <f>PROPER(global_freelancer_raw[[#This Row],[NAME UPPER]])</f>
        <v>Mark Chandler</v>
      </c>
      <c r="T975" t="str">
        <f t="shared" si="78"/>
        <v>So</v>
      </c>
      <c r="U975" t="str">
        <f t="shared" si="75"/>
        <v xml:space="preserve"> Chand</v>
      </c>
      <c r="V975" t="str">
        <f t="shared" si="79"/>
        <v>74</v>
      </c>
    </row>
    <row r="976" spans="1:22" x14ac:dyDescent="0.3">
      <c r="A976" s="1" t="s">
        <v>2034</v>
      </c>
      <c r="B976" s="1" t="s">
        <v>2035</v>
      </c>
      <c r="C976" s="1" t="s">
        <v>44</v>
      </c>
      <c r="D976">
        <v>43</v>
      </c>
      <c r="E976" s="1" t="s">
        <v>199</v>
      </c>
      <c r="F976" s="1" t="s">
        <v>81</v>
      </c>
      <c r="G976" s="1" t="s">
        <v>19</v>
      </c>
      <c r="H976">
        <v>2</v>
      </c>
      <c r="J976">
        <v>1.8</v>
      </c>
      <c r="K976" t="s">
        <v>168</v>
      </c>
      <c r="L976">
        <v>0.61</v>
      </c>
      <c r="M976" s="1" t="s">
        <v>20</v>
      </c>
      <c r="N976" s="1" t="s">
        <v>21</v>
      </c>
      <c r="O976">
        <v>5</v>
      </c>
      <c r="P976">
        <v>3</v>
      </c>
      <c r="Q976" t="str">
        <f t="shared" si="76"/>
        <v>CRYSTAL BROWN</v>
      </c>
      <c r="R976" t="str">
        <f t="shared" si="77"/>
        <v>spain</v>
      </c>
      <c r="S976" t="str">
        <f>PROPER(global_freelancer_raw[[#This Row],[NAME UPPER]])</f>
        <v>Crystal Brown</v>
      </c>
      <c r="T976" t="str">
        <f t="shared" si="78"/>
        <v>Sp</v>
      </c>
      <c r="U976" t="str">
        <f t="shared" si="75"/>
        <v>tal Br</v>
      </c>
      <c r="V976" t="str">
        <f t="shared" si="79"/>
        <v>75</v>
      </c>
    </row>
    <row r="977" spans="1:22" x14ac:dyDescent="0.3">
      <c r="A977" s="1" t="s">
        <v>2036</v>
      </c>
      <c r="B977" s="1" t="s">
        <v>2037</v>
      </c>
      <c r="C977" s="1" t="s">
        <v>32</v>
      </c>
      <c r="D977">
        <v>53</v>
      </c>
      <c r="E977" s="1" t="s">
        <v>121</v>
      </c>
      <c r="F977" s="1" t="s">
        <v>122</v>
      </c>
      <c r="G977" s="1" t="s">
        <v>123</v>
      </c>
      <c r="H977">
        <v>27</v>
      </c>
      <c r="I977">
        <v>100</v>
      </c>
      <c r="J977">
        <v>3.7</v>
      </c>
      <c r="K977" t="s">
        <v>168</v>
      </c>
      <c r="L977">
        <v>0.73</v>
      </c>
      <c r="M977" s="1" t="s">
        <v>77</v>
      </c>
      <c r="N977" s="1" t="s">
        <v>21</v>
      </c>
      <c r="O977">
        <v>13</v>
      </c>
      <c r="P977">
        <v>5</v>
      </c>
      <c r="Q977" t="str">
        <f t="shared" si="76"/>
        <v>TIMOTHY BARTON</v>
      </c>
      <c r="R977" t="str">
        <f t="shared" si="77"/>
        <v>south korea</v>
      </c>
      <c r="S977" t="str">
        <f>PROPER(global_freelancer_raw[[#This Row],[NAME UPPER]])</f>
        <v>Timothy Barton</v>
      </c>
      <c r="T977" t="str">
        <f t="shared" si="78"/>
        <v>So</v>
      </c>
      <c r="U977" t="str">
        <f t="shared" si="75"/>
        <v>thy Ba</v>
      </c>
      <c r="V977" t="str">
        <f t="shared" si="79"/>
        <v>76</v>
      </c>
    </row>
    <row r="978" spans="1:22" x14ac:dyDescent="0.3">
      <c r="A978" s="1" t="s">
        <v>2038</v>
      </c>
      <c r="B978" s="1" t="s">
        <v>2039</v>
      </c>
      <c r="C978" s="1" t="s">
        <v>39</v>
      </c>
      <c r="D978">
        <v>38</v>
      </c>
      <c r="E978" s="1" t="s">
        <v>133</v>
      </c>
      <c r="F978" s="1" t="s">
        <v>134</v>
      </c>
      <c r="G978" s="1" t="s">
        <v>98</v>
      </c>
      <c r="H978">
        <v>7</v>
      </c>
      <c r="I978">
        <v>75</v>
      </c>
      <c r="K978">
        <v>0</v>
      </c>
      <c r="M978" s="1" t="s">
        <v>20</v>
      </c>
      <c r="N978" s="1" t="s">
        <v>65</v>
      </c>
      <c r="O978">
        <v>6</v>
      </c>
      <c r="P978">
        <v>4</v>
      </c>
      <c r="Q978" t="str">
        <f t="shared" si="76"/>
        <v>LISA HICKMAN</v>
      </c>
      <c r="R978" t="str">
        <f t="shared" si="77"/>
        <v>russia</v>
      </c>
      <c r="S978" t="str">
        <f>PROPER(global_freelancer_raw[[#This Row],[NAME UPPER]])</f>
        <v>Lisa Hickman</v>
      </c>
      <c r="T978" t="str">
        <f t="shared" si="78"/>
        <v>Ru</v>
      </c>
      <c r="U978" t="str">
        <f t="shared" si="75"/>
        <v xml:space="preserve"> Hickm</v>
      </c>
      <c r="V978" t="str">
        <f t="shared" si="79"/>
        <v>77</v>
      </c>
    </row>
    <row r="979" spans="1:22" x14ac:dyDescent="0.3">
      <c r="A979" s="1" t="s">
        <v>2040</v>
      </c>
      <c r="B979" s="1" t="s">
        <v>2041</v>
      </c>
      <c r="C979" s="1" t="s">
        <v>106</v>
      </c>
      <c r="D979">
        <v>57</v>
      </c>
      <c r="E979" s="1" t="s">
        <v>75</v>
      </c>
      <c r="F979" s="1" t="s">
        <v>26</v>
      </c>
      <c r="G979" s="1" t="s">
        <v>87</v>
      </c>
      <c r="H979">
        <v>29</v>
      </c>
      <c r="I979">
        <v>75</v>
      </c>
      <c r="J979">
        <v>4.0999999999999996</v>
      </c>
      <c r="K979" t="s">
        <v>35</v>
      </c>
      <c r="L979">
        <v>0.9</v>
      </c>
      <c r="M979" s="1" t="s">
        <v>51</v>
      </c>
      <c r="N979" s="1" t="s">
        <v>29</v>
      </c>
      <c r="O979">
        <v>10</v>
      </c>
      <c r="P979">
        <v>14</v>
      </c>
      <c r="Q979" t="str">
        <f t="shared" si="76"/>
        <v>ALAN MENDOZA</v>
      </c>
      <c r="R979" t="str">
        <f t="shared" si="77"/>
        <v>uk</v>
      </c>
      <c r="S979" t="str">
        <f>PROPER(global_freelancer_raw[[#This Row],[NAME UPPER]])</f>
        <v>Alan Mendoza</v>
      </c>
      <c r="T979" t="str">
        <f t="shared" si="78"/>
        <v>UK</v>
      </c>
      <c r="U979" t="str">
        <f t="shared" si="75"/>
        <v xml:space="preserve"> Mendo</v>
      </c>
      <c r="V979" t="str">
        <f t="shared" si="79"/>
        <v>78</v>
      </c>
    </row>
    <row r="980" spans="1:22" x14ac:dyDescent="0.3">
      <c r="A980" s="1" t="s">
        <v>2042</v>
      </c>
      <c r="B980" s="1" t="s">
        <v>2043</v>
      </c>
      <c r="C980" s="1" t="s">
        <v>68</v>
      </c>
      <c r="D980">
        <v>27</v>
      </c>
      <c r="E980" s="1" t="s">
        <v>184</v>
      </c>
      <c r="F980" s="1" t="s">
        <v>185</v>
      </c>
      <c r="G980" s="1" t="s">
        <v>19</v>
      </c>
      <c r="H980">
        <v>5</v>
      </c>
      <c r="I980" t="s">
        <v>179</v>
      </c>
      <c r="J980">
        <v>1.4</v>
      </c>
      <c r="K980" t="b">
        <v>1</v>
      </c>
      <c r="L980">
        <v>0.64</v>
      </c>
      <c r="M980" s="1" t="s">
        <v>77</v>
      </c>
      <c r="N980" s="1" t="s">
        <v>21</v>
      </c>
      <c r="O980">
        <v>4</v>
      </c>
      <c r="P980">
        <v>1</v>
      </c>
      <c r="Q980" t="str">
        <f t="shared" si="76"/>
        <v>JASON SANDERS</v>
      </c>
      <c r="R980" t="str">
        <f t="shared" si="77"/>
        <v>china</v>
      </c>
      <c r="S980" t="str">
        <f>PROPER(global_freelancer_raw[[#This Row],[NAME UPPER]])</f>
        <v>Jason Sanders</v>
      </c>
      <c r="T980" t="str">
        <f t="shared" si="78"/>
        <v>Ch</v>
      </c>
      <c r="U980" t="str">
        <f t="shared" si="75"/>
        <v>n Sand</v>
      </c>
      <c r="V980" t="str">
        <f t="shared" si="79"/>
        <v>79</v>
      </c>
    </row>
    <row r="981" spans="1:22" x14ac:dyDescent="0.3">
      <c r="A981" s="1" t="s">
        <v>2044</v>
      </c>
      <c r="B981" s="1" t="s">
        <v>2045</v>
      </c>
      <c r="C981" s="1" t="s">
        <v>54</v>
      </c>
      <c r="D981">
        <v>43</v>
      </c>
      <c r="E981" s="1" t="s">
        <v>80</v>
      </c>
      <c r="F981" s="1" t="s">
        <v>81</v>
      </c>
      <c r="G981" s="1" t="s">
        <v>40</v>
      </c>
      <c r="H981">
        <v>2</v>
      </c>
      <c r="I981">
        <v>100</v>
      </c>
      <c r="J981">
        <v>1.1000000000000001</v>
      </c>
      <c r="K981">
        <v>1</v>
      </c>
      <c r="L981">
        <v>0.63</v>
      </c>
      <c r="M981" s="1" t="s">
        <v>51</v>
      </c>
      <c r="N981" s="1" t="s">
        <v>65</v>
      </c>
      <c r="O981">
        <v>4</v>
      </c>
      <c r="P981">
        <v>1</v>
      </c>
      <c r="Q981" t="str">
        <f t="shared" si="76"/>
        <v>CHARLES DEAN</v>
      </c>
      <c r="R981" t="str">
        <f t="shared" si="77"/>
        <v>argentina</v>
      </c>
      <c r="S981" t="str">
        <f>PROPER(global_freelancer_raw[[#This Row],[NAME UPPER]])</f>
        <v>Charles Dean</v>
      </c>
      <c r="T981" t="str">
        <f t="shared" si="78"/>
        <v>Ar</v>
      </c>
      <c r="U981" t="str">
        <f t="shared" si="75"/>
        <v>les De</v>
      </c>
      <c r="V981" t="str">
        <f t="shared" si="79"/>
        <v>80</v>
      </c>
    </row>
    <row r="982" spans="1:22" x14ac:dyDescent="0.3">
      <c r="A982" s="1" t="s">
        <v>2046</v>
      </c>
      <c r="B982" s="1" t="s">
        <v>2047</v>
      </c>
      <c r="C982" s="1" t="s">
        <v>32</v>
      </c>
      <c r="D982">
        <v>48</v>
      </c>
      <c r="E982" s="1" t="s">
        <v>137</v>
      </c>
      <c r="F982" s="1" t="s">
        <v>26</v>
      </c>
      <c r="G982" s="1" t="s">
        <v>57</v>
      </c>
      <c r="H982">
        <v>18</v>
      </c>
      <c r="I982" t="s">
        <v>41</v>
      </c>
      <c r="J982">
        <v>3.9</v>
      </c>
      <c r="M982" s="1" t="s">
        <v>51</v>
      </c>
      <c r="N982" s="1" t="s">
        <v>29</v>
      </c>
      <c r="O982">
        <v>12</v>
      </c>
      <c r="P982">
        <v>2</v>
      </c>
      <c r="Q982" t="str">
        <f t="shared" si="76"/>
        <v>BLAKE NEWTON</v>
      </c>
      <c r="R982" t="str">
        <f t="shared" si="77"/>
        <v>canada</v>
      </c>
      <c r="S982" t="str">
        <f>PROPER(global_freelancer_raw[[#This Row],[NAME UPPER]])</f>
        <v>Blake Newton</v>
      </c>
      <c r="T982" t="str">
        <f t="shared" si="78"/>
        <v>Ca</v>
      </c>
      <c r="U982" t="str">
        <f t="shared" si="75"/>
        <v>e Newt</v>
      </c>
      <c r="V982" t="str">
        <f t="shared" si="79"/>
        <v>81</v>
      </c>
    </row>
    <row r="983" spans="1:22" x14ac:dyDescent="0.3">
      <c r="A983" s="1" t="s">
        <v>2048</v>
      </c>
      <c r="B983" s="1" t="s">
        <v>2049</v>
      </c>
      <c r="C983" s="1" t="s">
        <v>101</v>
      </c>
      <c r="D983">
        <v>26</v>
      </c>
      <c r="E983" s="1" t="s">
        <v>116</v>
      </c>
      <c r="F983" s="1" t="s">
        <v>117</v>
      </c>
      <c r="G983" s="1" t="s">
        <v>87</v>
      </c>
      <c r="H983">
        <v>8</v>
      </c>
      <c r="I983">
        <v>20</v>
      </c>
      <c r="J983">
        <v>3.6</v>
      </c>
      <c r="K983">
        <v>0</v>
      </c>
      <c r="L983">
        <v>0.67</v>
      </c>
      <c r="M983" s="1" t="s">
        <v>51</v>
      </c>
      <c r="N983" s="1" t="s">
        <v>36</v>
      </c>
      <c r="O983">
        <v>14</v>
      </c>
      <c r="P983">
        <v>7</v>
      </c>
      <c r="Q983" t="str">
        <f t="shared" si="76"/>
        <v>DAVID GONZALEZ</v>
      </c>
      <c r="R983" t="str">
        <f t="shared" si="77"/>
        <v>brazil</v>
      </c>
      <c r="S983" t="str">
        <f>PROPER(global_freelancer_raw[[#This Row],[NAME UPPER]])</f>
        <v>David Gonzalez</v>
      </c>
      <c r="T983" t="str">
        <f t="shared" si="78"/>
        <v>Br</v>
      </c>
      <c r="U983" t="str">
        <f t="shared" si="75"/>
        <v>d Gonz</v>
      </c>
      <c r="V983" t="str">
        <f t="shared" si="79"/>
        <v>82</v>
      </c>
    </row>
    <row r="984" spans="1:22" x14ac:dyDescent="0.3">
      <c r="A984" s="1" t="s">
        <v>2050</v>
      </c>
      <c r="B984" s="1" t="s">
        <v>2051</v>
      </c>
      <c r="C984" s="1" t="s">
        <v>86</v>
      </c>
      <c r="E984" s="1" t="s">
        <v>162</v>
      </c>
      <c r="F984" s="1" t="s">
        <v>163</v>
      </c>
      <c r="G984" s="1" t="s">
        <v>34</v>
      </c>
      <c r="H984">
        <v>0</v>
      </c>
      <c r="I984" t="s">
        <v>41</v>
      </c>
      <c r="J984">
        <v>0</v>
      </c>
      <c r="K984" t="s">
        <v>168</v>
      </c>
      <c r="L984">
        <v>0.97</v>
      </c>
      <c r="M984" s="1" t="s">
        <v>51</v>
      </c>
      <c r="N984" s="1" t="s">
        <v>21</v>
      </c>
      <c r="O984">
        <v>4</v>
      </c>
      <c r="P984">
        <v>3</v>
      </c>
      <c r="Q984" t="str">
        <f t="shared" si="76"/>
        <v>CINDY WILLIAMS</v>
      </c>
      <c r="R984" t="str">
        <f t="shared" si="77"/>
        <v>south africa</v>
      </c>
      <c r="S984" t="str">
        <f>PROPER(global_freelancer_raw[[#This Row],[NAME UPPER]])</f>
        <v>Cindy Williams</v>
      </c>
      <c r="T984" t="str">
        <f t="shared" si="78"/>
        <v>So</v>
      </c>
      <c r="U984" t="str">
        <f t="shared" si="75"/>
        <v>y Will</v>
      </c>
      <c r="V984" t="str">
        <f t="shared" si="79"/>
        <v>83</v>
      </c>
    </row>
    <row r="985" spans="1:22" x14ac:dyDescent="0.3">
      <c r="A985" s="1" t="s">
        <v>2052</v>
      </c>
      <c r="B985" s="1" t="s">
        <v>2053</v>
      </c>
      <c r="C985" s="1" t="s">
        <v>44</v>
      </c>
      <c r="D985">
        <v>50</v>
      </c>
      <c r="E985" s="1" t="s">
        <v>17</v>
      </c>
      <c r="F985" s="1" t="s">
        <v>18</v>
      </c>
      <c r="G985" s="1" t="s">
        <v>57</v>
      </c>
      <c r="H985">
        <v>16</v>
      </c>
      <c r="I985" t="s">
        <v>179</v>
      </c>
      <c r="J985">
        <v>4.5</v>
      </c>
      <c r="K985">
        <v>0</v>
      </c>
      <c r="L985">
        <v>69</v>
      </c>
      <c r="M985" s="1" t="s">
        <v>77</v>
      </c>
      <c r="N985" s="1" t="s">
        <v>36</v>
      </c>
      <c r="O985">
        <v>15</v>
      </c>
      <c r="P985">
        <v>11</v>
      </c>
      <c r="Q985" t="str">
        <f t="shared" si="76"/>
        <v>LAURA WONG DDS</v>
      </c>
      <c r="R985" t="str">
        <f t="shared" si="77"/>
        <v>italy</v>
      </c>
      <c r="S985" t="str">
        <f>PROPER(global_freelancer_raw[[#This Row],[NAME UPPER]])</f>
        <v>Laura Wong Dds</v>
      </c>
      <c r="T985" t="str">
        <f t="shared" si="78"/>
        <v>It</v>
      </c>
      <c r="U985" t="str">
        <f t="shared" si="75"/>
        <v>a Wong</v>
      </c>
      <c r="V985" t="str">
        <f t="shared" si="79"/>
        <v>84</v>
      </c>
    </row>
    <row r="986" spans="1:22" x14ac:dyDescent="0.3">
      <c r="A986" s="1" t="s">
        <v>2054</v>
      </c>
      <c r="B986" s="1" t="s">
        <v>2055</v>
      </c>
      <c r="C986" s="1" t="s">
        <v>54</v>
      </c>
      <c r="D986">
        <v>48</v>
      </c>
      <c r="E986" s="1" t="s">
        <v>162</v>
      </c>
      <c r="F986" s="1" t="s">
        <v>163</v>
      </c>
      <c r="G986" s="1" t="s">
        <v>40</v>
      </c>
      <c r="H986">
        <v>8</v>
      </c>
      <c r="I986">
        <v>50</v>
      </c>
      <c r="K986">
        <v>1</v>
      </c>
      <c r="L986">
        <v>0.73</v>
      </c>
      <c r="M986" s="1" t="s">
        <v>51</v>
      </c>
      <c r="N986" s="1" t="s">
        <v>29</v>
      </c>
      <c r="O986">
        <v>6</v>
      </c>
      <c r="P986">
        <v>7</v>
      </c>
      <c r="Q986" t="str">
        <f t="shared" si="76"/>
        <v>ROBERT MORAN</v>
      </c>
      <c r="R986" t="str">
        <f t="shared" si="77"/>
        <v>south africa</v>
      </c>
      <c r="S986" t="str">
        <f>PROPER(global_freelancer_raw[[#This Row],[NAME UPPER]])</f>
        <v>Robert Moran</v>
      </c>
      <c r="T986" t="str">
        <f t="shared" si="78"/>
        <v>So</v>
      </c>
      <c r="U986" t="str">
        <f t="shared" si="75"/>
        <v>rt Mor</v>
      </c>
      <c r="V986" t="str">
        <f t="shared" si="79"/>
        <v>85</v>
      </c>
    </row>
    <row r="987" spans="1:22" x14ac:dyDescent="0.3">
      <c r="A987" s="1" t="s">
        <v>2056</v>
      </c>
      <c r="B987" s="1" t="s">
        <v>2057</v>
      </c>
      <c r="C987" s="1" t="s">
        <v>54</v>
      </c>
      <c r="D987">
        <v>60</v>
      </c>
      <c r="E987" s="1" t="s">
        <v>199</v>
      </c>
      <c r="F987" s="1" t="s">
        <v>81</v>
      </c>
      <c r="G987" s="1" t="s">
        <v>19</v>
      </c>
      <c r="H987">
        <v>39</v>
      </c>
      <c r="I987">
        <v>20</v>
      </c>
      <c r="J987">
        <v>1.4</v>
      </c>
      <c r="K987" t="b">
        <v>1</v>
      </c>
      <c r="L987">
        <v>0.86</v>
      </c>
      <c r="M987" s="1" t="s">
        <v>51</v>
      </c>
      <c r="N987" s="1" t="s">
        <v>21</v>
      </c>
      <c r="O987">
        <v>20</v>
      </c>
      <c r="P987">
        <v>12</v>
      </c>
      <c r="Q987" t="str">
        <f t="shared" si="76"/>
        <v>BRADLEY WU</v>
      </c>
      <c r="R987" t="str">
        <f t="shared" si="77"/>
        <v>spain</v>
      </c>
      <c r="S987" t="str">
        <f>PROPER(global_freelancer_raw[[#This Row],[NAME UPPER]])</f>
        <v>Bradley Wu</v>
      </c>
      <c r="T987" t="str">
        <f t="shared" si="78"/>
        <v>Sp</v>
      </c>
      <c r="U987" t="str">
        <f t="shared" si="75"/>
        <v>ley Wu</v>
      </c>
      <c r="V987" t="str">
        <f t="shared" si="79"/>
        <v>86</v>
      </c>
    </row>
    <row r="988" spans="1:22" x14ac:dyDescent="0.3">
      <c r="A988" s="1" t="s">
        <v>2058</v>
      </c>
      <c r="B988" s="1" t="s">
        <v>2059</v>
      </c>
      <c r="C988" s="1" t="s">
        <v>106</v>
      </c>
      <c r="D988">
        <v>26</v>
      </c>
      <c r="E988" s="1" t="s">
        <v>148</v>
      </c>
      <c r="F988" s="1" t="s">
        <v>149</v>
      </c>
      <c r="G988" s="1" t="s">
        <v>123</v>
      </c>
      <c r="I988">
        <v>50</v>
      </c>
      <c r="J988">
        <v>0</v>
      </c>
      <c r="K988" t="s">
        <v>76</v>
      </c>
      <c r="L988">
        <v>81</v>
      </c>
      <c r="M988" s="1" t="s">
        <v>20</v>
      </c>
      <c r="N988" s="1" t="s">
        <v>29</v>
      </c>
      <c r="O988">
        <v>4</v>
      </c>
      <c r="P988">
        <v>1</v>
      </c>
      <c r="Q988" t="str">
        <f t="shared" si="76"/>
        <v>DANIEL THOMAS</v>
      </c>
      <c r="R988" t="str">
        <f t="shared" si="77"/>
        <v>egypt</v>
      </c>
      <c r="S988" t="str">
        <f>PROPER(global_freelancer_raw[[#This Row],[NAME UPPER]])</f>
        <v>Daniel Thomas</v>
      </c>
      <c r="T988" t="str">
        <f t="shared" si="78"/>
        <v>Eg</v>
      </c>
      <c r="U988" t="str">
        <f t="shared" si="75"/>
        <v>el Tho</v>
      </c>
      <c r="V988" t="str">
        <f t="shared" si="79"/>
        <v>87</v>
      </c>
    </row>
    <row r="989" spans="1:22" x14ac:dyDescent="0.3">
      <c r="A989" s="1" t="s">
        <v>2060</v>
      </c>
      <c r="B989" s="1" t="s">
        <v>2061</v>
      </c>
      <c r="C989" s="1" t="s">
        <v>24</v>
      </c>
      <c r="D989">
        <v>35</v>
      </c>
      <c r="E989" s="1" t="s">
        <v>121</v>
      </c>
      <c r="F989" s="1" t="s">
        <v>122</v>
      </c>
      <c r="G989" s="1" t="s">
        <v>34</v>
      </c>
      <c r="H989">
        <v>16</v>
      </c>
      <c r="I989" t="s">
        <v>28</v>
      </c>
      <c r="J989">
        <v>4.3</v>
      </c>
      <c r="K989">
        <v>1</v>
      </c>
      <c r="L989">
        <v>0.74</v>
      </c>
      <c r="M989" s="1" t="s">
        <v>77</v>
      </c>
      <c r="N989" s="1" t="s">
        <v>36</v>
      </c>
      <c r="O989">
        <v>13</v>
      </c>
      <c r="P989">
        <v>3</v>
      </c>
      <c r="Q989" t="str">
        <f t="shared" si="76"/>
        <v>MICHELLE PETERSON</v>
      </c>
      <c r="R989" t="str">
        <f t="shared" si="77"/>
        <v>south korea</v>
      </c>
      <c r="S989" t="str">
        <f>PROPER(global_freelancer_raw[[#This Row],[NAME UPPER]])</f>
        <v>Michelle Peterson</v>
      </c>
      <c r="T989" t="str">
        <f t="shared" si="78"/>
        <v>So</v>
      </c>
      <c r="U989" t="str">
        <f t="shared" si="75"/>
        <v>elle P</v>
      </c>
      <c r="V989" t="str">
        <f t="shared" si="79"/>
        <v>88</v>
      </c>
    </row>
    <row r="990" spans="1:22" x14ac:dyDescent="0.3">
      <c r="A990" s="1" t="s">
        <v>2062</v>
      </c>
      <c r="B990" s="1" t="s">
        <v>2063</v>
      </c>
      <c r="C990" s="1" t="s">
        <v>106</v>
      </c>
      <c r="D990">
        <v>23</v>
      </c>
      <c r="E990" s="1" t="s">
        <v>64</v>
      </c>
      <c r="F990" s="1" t="s">
        <v>26</v>
      </c>
      <c r="G990" s="1" t="s">
        <v>19</v>
      </c>
      <c r="H990">
        <v>4</v>
      </c>
      <c r="I990" t="s">
        <v>238</v>
      </c>
      <c r="J990">
        <v>2.2000000000000002</v>
      </c>
      <c r="K990">
        <v>1</v>
      </c>
      <c r="L990">
        <v>64</v>
      </c>
      <c r="M990" s="1" t="s">
        <v>77</v>
      </c>
      <c r="N990" s="1" t="s">
        <v>21</v>
      </c>
      <c r="O990">
        <v>2</v>
      </c>
      <c r="P990">
        <v>3</v>
      </c>
      <c r="Q990" t="str">
        <f t="shared" si="76"/>
        <v>SETH THOMAS</v>
      </c>
      <c r="R990" t="str">
        <f t="shared" si="77"/>
        <v>us</v>
      </c>
      <c r="S990" t="str">
        <f>PROPER(global_freelancer_raw[[#This Row],[NAME UPPER]])</f>
        <v>Seth Thomas</v>
      </c>
      <c r="T990" t="str">
        <f t="shared" si="78"/>
        <v>US</v>
      </c>
      <c r="U990" t="str">
        <f t="shared" si="75"/>
        <v xml:space="preserve"> Thoma</v>
      </c>
      <c r="V990" t="str">
        <f t="shared" si="79"/>
        <v>89</v>
      </c>
    </row>
    <row r="991" spans="1:22" x14ac:dyDescent="0.3">
      <c r="A991" s="1" t="s">
        <v>2064</v>
      </c>
      <c r="B991" s="1" t="s">
        <v>2065</v>
      </c>
      <c r="C991" s="1" t="s">
        <v>106</v>
      </c>
      <c r="D991">
        <v>37</v>
      </c>
      <c r="E991" s="1" t="s">
        <v>25</v>
      </c>
      <c r="F991" s="1" t="s">
        <v>26</v>
      </c>
      <c r="G991" s="1" t="s">
        <v>34</v>
      </c>
      <c r="H991">
        <v>4</v>
      </c>
      <c r="I991">
        <v>75</v>
      </c>
      <c r="J991">
        <v>3.2</v>
      </c>
      <c r="K991" t="b">
        <v>0</v>
      </c>
      <c r="L991">
        <v>0.76</v>
      </c>
      <c r="M991" s="1" t="s">
        <v>72</v>
      </c>
      <c r="N991" s="1" t="s">
        <v>36</v>
      </c>
      <c r="O991">
        <v>5</v>
      </c>
      <c r="P991">
        <v>1</v>
      </c>
      <c r="Q991" t="str">
        <f t="shared" si="76"/>
        <v>EVAN RAMOS</v>
      </c>
      <c r="R991" t="str">
        <f t="shared" si="77"/>
        <v>australia</v>
      </c>
      <c r="S991" t="str">
        <f>PROPER(global_freelancer_raw[[#This Row],[NAME UPPER]])</f>
        <v>Evan Ramos</v>
      </c>
      <c r="T991" t="str">
        <f t="shared" si="78"/>
        <v>Au</v>
      </c>
      <c r="U991" t="str">
        <f t="shared" si="75"/>
        <v xml:space="preserve"> Ramos</v>
      </c>
      <c r="V991" t="str">
        <f t="shared" si="79"/>
        <v>90</v>
      </c>
    </row>
    <row r="992" spans="1:22" x14ac:dyDescent="0.3">
      <c r="A992" s="1" t="s">
        <v>2066</v>
      </c>
      <c r="B992" s="1" t="s">
        <v>2067</v>
      </c>
      <c r="C992" s="1" t="s">
        <v>24</v>
      </c>
      <c r="D992">
        <v>21</v>
      </c>
      <c r="E992" s="1" t="s">
        <v>80</v>
      </c>
      <c r="F992" s="1" t="s">
        <v>81</v>
      </c>
      <c r="G992" s="1" t="s">
        <v>49</v>
      </c>
      <c r="H992">
        <v>2</v>
      </c>
      <c r="I992">
        <v>100</v>
      </c>
      <c r="J992">
        <v>3.7</v>
      </c>
      <c r="K992" t="s">
        <v>76</v>
      </c>
      <c r="L992">
        <v>73</v>
      </c>
      <c r="M992" s="1" t="s">
        <v>77</v>
      </c>
      <c r="N992" s="1" t="s">
        <v>29</v>
      </c>
      <c r="O992">
        <v>2</v>
      </c>
      <c r="P992">
        <v>3</v>
      </c>
      <c r="Q992" t="str">
        <f t="shared" si="76"/>
        <v>MICHELLE SOLIS</v>
      </c>
      <c r="R992" t="str">
        <f t="shared" si="77"/>
        <v>argentina</v>
      </c>
      <c r="S992" t="str">
        <f>PROPER(global_freelancer_raw[[#This Row],[NAME UPPER]])</f>
        <v>Michelle Solis</v>
      </c>
      <c r="T992" t="str">
        <f t="shared" si="78"/>
        <v>Ar</v>
      </c>
      <c r="U992" t="str">
        <f t="shared" si="75"/>
        <v>elle S</v>
      </c>
      <c r="V992" t="str">
        <f t="shared" si="79"/>
        <v>91</v>
      </c>
    </row>
    <row r="993" spans="1:22" x14ac:dyDescent="0.3">
      <c r="A993" s="1" t="s">
        <v>2068</v>
      </c>
      <c r="B993" s="1" t="s">
        <v>2069</v>
      </c>
      <c r="C993" s="1" t="s">
        <v>24</v>
      </c>
      <c r="D993">
        <v>58</v>
      </c>
      <c r="E993" s="1" t="s">
        <v>33</v>
      </c>
      <c r="F993" s="1" t="s">
        <v>33</v>
      </c>
      <c r="G993" s="1" t="s">
        <v>82</v>
      </c>
      <c r="H993">
        <v>37</v>
      </c>
      <c r="I993" t="s">
        <v>107</v>
      </c>
      <c r="J993">
        <v>4.9000000000000004</v>
      </c>
      <c r="K993" t="b">
        <v>0</v>
      </c>
      <c r="L993">
        <v>0.69</v>
      </c>
      <c r="M993" s="1" t="s">
        <v>77</v>
      </c>
      <c r="N993" s="1" t="s">
        <v>29</v>
      </c>
      <c r="O993">
        <v>16</v>
      </c>
      <c r="P993">
        <v>2</v>
      </c>
      <c r="Q993" t="str">
        <f t="shared" si="76"/>
        <v>CHARLOTTE TAYLOR</v>
      </c>
      <c r="R993" t="str">
        <f t="shared" si="77"/>
        <v>germany</v>
      </c>
      <c r="S993" t="str">
        <f>PROPER(global_freelancer_raw[[#This Row],[NAME UPPER]])</f>
        <v>Charlotte Taylor</v>
      </c>
      <c r="T993" t="str">
        <f t="shared" si="78"/>
        <v>Ge</v>
      </c>
      <c r="U993" t="str">
        <f t="shared" si="75"/>
        <v xml:space="preserve">lotte </v>
      </c>
      <c r="V993" t="str">
        <f t="shared" si="79"/>
        <v>92</v>
      </c>
    </row>
    <row r="994" spans="1:22" x14ac:dyDescent="0.3">
      <c r="A994" s="1" t="s">
        <v>2070</v>
      </c>
      <c r="B994" s="1" t="s">
        <v>2071</v>
      </c>
      <c r="C994" s="1" t="s">
        <v>86</v>
      </c>
      <c r="D994">
        <v>52</v>
      </c>
      <c r="E994" s="1" t="s">
        <v>55</v>
      </c>
      <c r="F994" s="1" t="s">
        <v>56</v>
      </c>
      <c r="G994" s="1" t="s">
        <v>27</v>
      </c>
      <c r="H994">
        <v>32</v>
      </c>
      <c r="I994" t="s">
        <v>179</v>
      </c>
      <c r="J994">
        <v>3.2</v>
      </c>
      <c r="K994">
        <v>0</v>
      </c>
      <c r="L994">
        <v>0.79</v>
      </c>
      <c r="M994" s="1" t="s">
        <v>72</v>
      </c>
      <c r="N994" s="1" t="s">
        <v>36</v>
      </c>
      <c r="O994">
        <v>20</v>
      </c>
      <c r="P994">
        <v>7</v>
      </c>
      <c r="Q994" t="str">
        <f t="shared" si="76"/>
        <v>SANDRA PRESTON</v>
      </c>
      <c r="R994" t="str">
        <f t="shared" si="77"/>
        <v>indonesia</v>
      </c>
      <c r="S994" t="str">
        <f>PROPER(global_freelancer_raw[[#This Row],[NAME UPPER]])</f>
        <v>Sandra Preston</v>
      </c>
      <c r="T994" t="str">
        <f t="shared" si="78"/>
        <v>In</v>
      </c>
      <c r="U994" t="str">
        <f t="shared" si="75"/>
        <v>ra Pre</v>
      </c>
      <c r="V994" t="str">
        <f t="shared" si="79"/>
        <v>93</v>
      </c>
    </row>
    <row r="995" spans="1:22" x14ac:dyDescent="0.3">
      <c r="A995" s="1" t="s">
        <v>2072</v>
      </c>
      <c r="B995" s="1" t="s">
        <v>2073</v>
      </c>
      <c r="C995" s="1" t="s">
        <v>32</v>
      </c>
      <c r="D995">
        <v>46</v>
      </c>
      <c r="E995" s="1" t="s">
        <v>133</v>
      </c>
      <c r="F995" s="1" t="s">
        <v>134</v>
      </c>
      <c r="G995" s="1" t="s">
        <v>27</v>
      </c>
      <c r="H995">
        <v>8</v>
      </c>
      <c r="I995">
        <v>20</v>
      </c>
      <c r="J995">
        <v>2.2000000000000002</v>
      </c>
      <c r="L995">
        <v>89</v>
      </c>
      <c r="M995" s="1" t="s">
        <v>77</v>
      </c>
      <c r="N995" s="1" t="s">
        <v>21</v>
      </c>
      <c r="O995">
        <v>7</v>
      </c>
      <c r="P995">
        <v>13</v>
      </c>
      <c r="Q995" t="str">
        <f t="shared" si="76"/>
        <v>JIM WEISS</v>
      </c>
      <c r="R995" t="str">
        <f t="shared" si="77"/>
        <v>russia</v>
      </c>
      <c r="S995" t="str">
        <f>PROPER(global_freelancer_raw[[#This Row],[NAME UPPER]])</f>
        <v>Jim Weiss</v>
      </c>
      <c r="T995" t="str">
        <f t="shared" si="78"/>
        <v>Ru</v>
      </c>
      <c r="U995" t="str">
        <f t="shared" si="75"/>
        <v>Weiss</v>
      </c>
      <c r="V995" t="str">
        <f t="shared" si="79"/>
        <v>94</v>
      </c>
    </row>
    <row r="996" spans="1:22" x14ac:dyDescent="0.3">
      <c r="A996" s="1" t="s">
        <v>2074</v>
      </c>
      <c r="B996" s="1" t="s">
        <v>2075</v>
      </c>
      <c r="C996" s="1" t="s">
        <v>86</v>
      </c>
      <c r="D996">
        <v>34</v>
      </c>
      <c r="E996" s="1" t="s">
        <v>162</v>
      </c>
      <c r="F996" s="1" t="s">
        <v>163</v>
      </c>
      <c r="G996" s="1" t="s">
        <v>98</v>
      </c>
      <c r="H996">
        <v>8</v>
      </c>
      <c r="I996">
        <v>30</v>
      </c>
      <c r="J996">
        <v>3.9</v>
      </c>
      <c r="K996" t="s">
        <v>83</v>
      </c>
      <c r="L996">
        <v>0.95</v>
      </c>
      <c r="M996" s="1" t="s">
        <v>77</v>
      </c>
      <c r="N996" s="1" t="s">
        <v>36</v>
      </c>
      <c r="O996">
        <v>10</v>
      </c>
      <c r="P996">
        <v>3</v>
      </c>
      <c r="Q996" t="str">
        <f t="shared" si="76"/>
        <v>JENNIFER HINTON</v>
      </c>
      <c r="R996" t="str">
        <f t="shared" si="77"/>
        <v>south africa</v>
      </c>
      <c r="S996" t="str">
        <f>PROPER(global_freelancer_raw[[#This Row],[NAME UPPER]])</f>
        <v>Jennifer Hinton</v>
      </c>
      <c r="T996" t="str">
        <f t="shared" si="78"/>
        <v>So</v>
      </c>
      <c r="U996" t="str">
        <f t="shared" si="75"/>
        <v>ifer H</v>
      </c>
      <c r="V996" t="str">
        <f t="shared" si="79"/>
        <v>95</v>
      </c>
    </row>
    <row r="997" spans="1:22" x14ac:dyDescent="0.3">
      <c r="A997" s="1" t="s">
        <v>2076</v>
      </c>
      <c r="B997" s="1" t="s">
        <v>2077</v>
      </c>
      <c r="C997" s="1" t="s">
        <v>106</v>
      </c>
      <c r="D997">
        <v>56</v>
      </c>
      <c r="E997" s="1" t="s">
        <v>69</v>
      </c>
      <c r="F997" s="1" t="s">
        <v>70</v>
      </c>
      <c r="G997" s="1" t="s">
        <v>98</v>
      </c>
      <c r="H997">
        <v>13</v>
      </c>
      <c r="I997">
        <v>100</v>
      </c>
      <c r="J997">
        <v>0</v>
      </c>
      <c r="K997" t="s">
        <v>168</v>
      </c>
      <c r="L997">
        <v>0.68</v>
      </c>
      <c r="M997" s="1" t="s">
        <v>77</v>
      </c>
      <c r="N997" s="1" t="s">
        <v>29</v>
      </c>
      <c r="O997">
        <v>8</v>
      </c>
      <c r="P997">
        <v>3</v>
      </c>
      <c r="Q997" t="str">
        <f t="shared" si="76"/>
        <v>ALBERT WILCOX</v>
      </c>
      <c r="R997" t="str">
        <f t="shared" si="77"/>
        <v>turkey</v>
      </c>
      <c r="S997" t="str">
        <f>PROPER(global_freelancer_raw[[#This Row],[NAME UPPER]])</f>
        <v>Albert Wilcox</v>
      </c>
      <c r="T997" t="str">
        <f t="shared" si="78"/>
        <v>Tu</v>
      </c>
      <c r="U997" t="str">
        <f t="shared" si="75"/>
        <v>rt Wil</v>
      </c>
      <c r="V997" t="str">
        <f t="shared" si="79"/>
        <v>96</v>
      </c>
    </row>
    <row r="998" spans="1:22" x14ac:dyDescent="0.3">
      <c r="A998" s="1" t="s">
        <v>2078</v>
      </c>
      <c r="B998" s="1" t="s">
        <v>2079</v>
      </c>
      <c r="C998" s="1" t="s">
        <v>16</v>
      </c>
      <c r="D998">
        <v>26</v>
      </c>
      <c r="E998" s="1" t="s">
        <v>33</v>
      </c>
      <c r="F998" s="1" t="s">
        <v>33</v>
      </c>
      <c r="G998" s="1" t="s">
        <v>19</v>
      </c>
      <c r="H998">
        <v>6</v>
      </c>
      <c r="I998" t="s">
        <v>61</v>
      </c>
      <c r="J998">
        <v>2.8</v>
      </c>
      <c r="K998" t="s">
        <v>35</v>
      </c>
      <c r="L998">
        <v>82</v>
      </c>
      <c r="M998" s="1" t="s">
        <v>77</v>
      </c>
      <c r="N998" s="1" t="s">
        <v>36</v>
      </c>
      <c r="O998">
        <v>6</v>
      </c>
      <c r="P998">
        <v>11</v>
      </c>
      <c r="Q998" t="str">
        <f t="shared" si="76"/>
        <v>CHERYL NORRIS</v>
      </c>
      <c r="R998" t="str">
        <f t="shared" si="77"/>
        <v>germany</v>
      </c>
      <c r="S998" t="str">
        <f>PROPER(global_freelancer_raw[[#This Row],[NAME UPPER]])</f>
        <v>Cheryl Norris</v>
      </c>
      <c r="T998" t="str">
        <f t="shared" si="78"/>
        <v>Ge</v>
      </c>
      <c r="U998" t="str">
        <f t="shared" si="75"/>
        <v>yl Nor</v>
      </c>
      <c r="V998" t="str">
        <f t="shared" si="79"/>
        <v>97</v>
      </c>
    </row>
    <row r="999" spans="1:22" x14ac:dyDescent="0.3">
      <c r="A999" s="1" t="s">
        <v>2080</v>
      </c>
      <c r="B999" s="1" t="s">
        <v>2081</v>
      </c>
      <c r="C999" s="1" t="s">
        <v>44</v>
      </c>
      <c r="D999">
        <v>37</v>
      </c>
      <c r="E999" s="1" t="s">
        <v>94</v>
      </c>
      <c r="F999" s="1" t="s">
        <v>95</v>
      </c>
      <c r="G999" s="1" t="s">
        <v>57</v>
      </c>
      <c r="H999">
        <v>15</v>
      </c>
      <c r="I999">
        <v>75</v>
      </c>
      <c r="K999" t="b">
        <v>0</v>
      </c>
      <c r="L999">
        <v>0.94</v>
      </c>
      <c r="M999" s="1" t="s">
        <v>72</v>
      </c>
      <c r="N999" s="1" t="s">
        <v>29</v>
      </c>
      <c r="O999">
        <v>14</v>
      </c>
      <c r="P999">
        <v>12</v>
      </c>
      <c r="Q999" t="str">
        <f t="shared" si="76"/>
        <v>KATHY WATKINS</v>
      </c>
      <c r="R999" t="str">
        <f t="shared" si="77"/>
        <v>japan</v>
      </c>
      <c r="S999" t="str">
        <f>PROPER(global_freelancer_raw[[#This Row],[NAME UPPER]])</f>
        <v>Kathy Watkins</v>
      </c>
      <c r="T999" t="str">
        <f t="shared" si="78"/>
        <v>Ja</v>
      </c>
      <c r="U999" t="str">
        <f t="shared" si="75"/>
        <v>y Watk</v>
      </c>
      <c r="V999" t="str">
        <f t="shared" si="79"/>
        <v>98</v>
      </c>
    </row>
    <row r="1000" spans="1:22" x14ac:dyDescent="0.3">
      <c r="A1000" s="1" t="s">
        <v>2082</v>
      </c>
      <c r="B1000" s="1" t="s">
        <v>2083</v>
      </c>
      <c r="C1000" s="1" t="s">
        <v>54</v>
      </c>
      <c r="D1000">
        <v>46</v>
      </c>
      <c r="E1000" s="1" t="s">
        <v>133</v>
      </c>
      <c r="F1000" s="1" t="s">
        <v>134</v>
      </c>
      <c r="G1000" s="1" t="s">
        <v>123</v>
      </c>
      <c r="H1000">
        <v>22</v>
      </c>
      <c r="I1000">
        <v>100</v>
      </c>
      <c r="J1000">
        <v>2.8</v>
      </c>
      <c r="K1000" t="s">
        <v>76</v>
      </c>
      <c r="L1000">
        <v>97</v>
      </c>
      <c r="M1000" s="1" t="s">
        <v>77</v>
      </c>
      <c r="N1000" s="1" t="s">
        <v>36</v>
      </c>
      <c r="O1000">
        <v>12</v>
      </c>
      <c r="P1000">
        <v>6</v>
      </c>
      <c r="Q1000" t="str">
        <f t="shared" si="76"/>
        <v>JOHN OBRIEN</v>
      </c>
      <c r="R1000" t="str">
        <f t="shared" si="77"/>
        <v>russia</v>
      </c>
      <c r="S1000" t="str">
        <f>PROPER(global_freelancer_raw[[#This Row],[NAME UPPER]])</f>
        <v>John Obrien</v>
      </c>
      <c r="T1000" t="str">
        <f t="shared" si="78"/>
        <v>Ru</v>
      </c>
      <c r="U1000" t="str">
        <f t="shared" si="75"/>
        <v xml:space="preserve"> Obrie</v>
      </c>
      <c r="V1000" t="str">
        <f t="shared" si="79"/>
        <v>99</v>
      </c>
    </row>
    <row r="1001" spans="1:22" x14ac:dyDescent="0.3">
      <c r="A1001" s="1" t="s">
        <v>2084</v>
      </c>
      <c r="B1001" s="1" t="s">
        <v>2085</v>
      </c>
      <c r="C1001" s="1" t="s">
        <v>86</v>
      </c>
      <c r="D1001">
        <v>36</v>
      </c>
      <c r="E1001" s="1" t="s">
        <v>188</v>
      </c>
      <c r="F1001" s="1" t="s">
        <v>81</v>
      </c>
      <c r="G1001" s="1" t="s">
        <v>82</v>
      </c>
      <c r="H1001">
        <v>18</v>
      </c>
      <c r="I1001" t="s">
        <v>130</v>
      </c>
      <c r="J1001">
        <v>1.7</v>
      </c>
      <c r="K1001">
        <v>1</v>
      </c>
      <c r="L1001">
        <v>72</v>
      </c>
      <c r="M1001" s="1" t="s">
        <v>77</v>
      </c>
      <c r="N1001" s="1" t="s">
        <v>21</v>
      </c>
      <c r="O1001">
        <v>15</v>
      </c>
      <c r="P1001">
        <v>14</v>
      </c>
      <c r="Q1001" t="str">
        <f t="shared" si="76"/>
        <v>DAWN GREEN</v>
      </c>
      <c r="R1001" t="str">
        <f t="shared" si="77"/>
        <v>mexico</v>
      </c>
      <c r="S1001" t="str">
        <f>PROPER(global_freelancer_raw[[#This Row],[NAME UPPER]])</f>
        <v>Dawn Green</v>
      </c>
      <c r="T1001" t="str">
        <f t="shared" si="78"/>
        <v>Me</v>
      </c>
      <c r="U1001" t="str">
        <f t="shared" si="75"/>
        <v xml:space="preserve"> Green</v>
      </c>
      <c r="V1001" t="str">
        <f t="shared" si="79"/>
        <v>00</v>
      </c>
    </row>
    <row r="1002" spans="1:22" x14ac:dyDescent="0.3">
      <c r="A1002" s="1"/>
      <c r="B1002" s="1"/>
      <c r="C1002" s="1"/>
      <c r="E1002" s="1"/>
      <c r="F1002" s="1"/>
      <c r="G1002" s="1"/>
      <c r="M1002" s="1"/>
      <c r="N1002" s="1"/>
      <c r="S1002" t="str">
        <f>PROPER(global_freelancer_raw[[#This Row],[NAME UPPER]])</f>
        <v/>
      </c>
      <c r="U1002" t="str">
        <f t="shared" si="75"/>
        <v/>
      </c>
    </row>
    <row r="1003" spans="1:22" x14ac:dyDescent="0.3">
      <c r="A1003" s="1"/>
      <c r="B1003" s="1"/>
      <c r="C1003" s="1"/>
      <c r="E1003" s="1"/>
      <c r="F1003" s="1"/>
      <c r="G1003" s="1"/>
      <c r="M1003" s="1"/>
      <c r="N1003" s="1"/>
      <c r="S1003" t="str">
        <f>PROPER(global_freelancer_raw[[#This Row],[NAME UPPER]])</f>
        <v/>
      </c>
      <c r="U1003" t="str">
        <f t="shared" si="75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4243-3EB7-4437-9EAE-ABFC16FE8629}">
  <dimension ref="A1:F1001"/>
  <sheetViews>
    <sheetView tabSelected="1" workbookViewId="0">
      <selection activeCell="H16" sqref="H16"/>
    </sheetView>
  </sheetViews>
  <sheetFormatPr defaultRowHeight="14.4" x14ac:dyDescent="0.3"/>
  <cols>
    <col min="1" max="1" width="24.5546875" bestFit="1" customWidth="1"/>
    <col min="2" max="2" width="19.109375" customWidth="1"/>
    <col min="3" max="3" width="22.21875" bestFit="1" customWidth="1"/>
    <col min="4" max="4" width="16.21875" customWidth="1"/>
    <col min="5" max="5" width="12" customWidth="1"/>
    <col min="6" max="6" width="10.5546875" customWidth="1"/>
  </cols>
  <sheetData>
    <row r="1" spans="1:6" x14ac:dyDescent="0.3">
      <c r="A1" s="5" t="s">
        <v>3081</v>
      </c>
      <c r="B1" s="6" t="s">
        <v>3082</v>
      </c>
      <c r="C1" s="6" t="s">
        <v>3080</v>
      </c>
      <c r="D1" s="6" t="s">
        <v>3079</v>
      </c>
      <c r="E1" s="6" t="s">
        <v>3084</v>
      </c>
      <c r="F1" s="7" t="s">
        <v>3083</v>
      </c>
    </row>
    <row r="2" spans="1:6" x14ac:dyDescent="0.3">
      <c r="A2" s="3" t="s">
        <v>3078</v>
      </c>
      <c r="B2" s="2" t="s">
        <v>3085</v>
      </c>
      <c r="C2" s="2" t="s">
        <v>3086</v>
      </c>
      <c r="D2" s="2" t="s">
        <v>3087</v>
      </c>
      <c r="E2" s="2" t="s">
        <v>3088</v>
      </c>
      <c r="F2" s="4" t="s">
        <v>3089</v>
      </c>
    </row>
    <row r="3" spans="1:6" x14ac:dyDescent="0.3">
      <c r="A3" s="3" t="s">
        <v>2087</v>
      </c>
      <c r="B3" s="2" t="s">
        <v>3090</v>
      </c>
      <c r="C3" s="2" t="s">
        <v>23</v>
      </c>
      <c r="D3" s="2" t="s">
        <v>3091</v>
      </c>
      <c r="E3" s="2" t="s">
        <v>3092</v>
      </c>
      <c r="F3" s="4" t="s">
        <v>3089</v>
      </c>
    </row>
    <row r="4" spans="1:6" x14ac:dyDescent="0.3">
      <c r="A4" s="3" t="s">
        <v>2088</v>
      </c>
      <c r="B4" s="2" t="s">
        <v>3093</v>
      </c>
      <c r="C4" s="2" t="s">
        <v>31</v>
      </c>
      <c r="D4" s="2" t="s">
        <v>3094</v>
      </c>
      <c r="E4" s="2" t="s">
        <v>3095</v>
      </c>
      <c r="F4" s="4" t="s">
        <v>3096</v>
      </c>
    </row>
    <row r="5" spans="1:6" x14ac:dyDescent="0.3">
      <c r="A5" s="3" t="s">
        <v>2089</v>
      </c>
      <c r="B5" s="2" t="s">
        <v>3090</v>
      </c>
      <c r="C5" s="2" t="s">
        <v>38</v>
      </c>
      <c r="D5" s="2" t="s">
        <v>3091</v>
      </c>
      <c r="E5" s="2" t="s">
        <v>3097</v>
      </c>
      <c r="F5" s="4" t="s">
        <v>3098</v>
      </c>
    </row>
    <row r="6" spans="1:6" x14ac:dyDescent="0.3">
      <c r="A6" s="3" t="s">
        <v>2090</v>
      </c>
      <c r="B6" s="2" t="s">
        <v>3093</v>
      </c>
      <c r="C6" s="2" t="s">
        <v>3099</v>
      </c>
      <c r="D6" s="2" t="s">
        <v>3094</v>
      </c>
      <c r="E6" s="2" t="s">
        <v>3100</v>
      </c>
      <c r="F6" s="4" t="s">
        <v>3101</v>
      </c>
    </row>
    <row r="7" spans="1:6" x14ac:dyDescent="0.3">
      <c r="A7" s="3" t="s">
        <v>2091</v>
      </c>
      <c r="B7" s="2" t="s">
        <v>3102</v>
      </c>
      <c r="C7" s="2" t="s">
        <v>46</v>
      </c>
      <c r="D7" s="2" t="s">
        <v>3103</v>
      </c>
      <c r="E7" s="2" t="s">
        <v>3104</v>
      </c>
      <c r="F7" s="4" t="s">
        <v>3105</v>
      </c>
    </row>
    <row r="8" spans="1:6" x14ac:dyDescent="0.3">
      <c r="A8" s="3" t="s">
        <v>2092</v>
      </c>
      <c r="B8" s="2" t="s">
        <v>3106</v>
      </c>
      <c r="C8" s="2" t="s">
        <v>53</v>
      </c>
      <c r="D8" s="2" t="s">
        <v>3107</v>
      </c>
      <c r="E8" s="2" t="s">
        <v>3108</v>
      </c>
      <c r="F8" s="4" t="s">
        <v>3109</v>
      </c>
    </row>
    <row r="9" spans="1:6" x14ac:dyDescent="0.3">
      <c r="A9" s="3" t="s">
        <v>2093</v>
      </c>
      <c r="B9" s="2" t="s">
        <v>3085</v>
      </c>
      <c r="C9" s="2" t="s">
        <v>60</v>
      </c>
      <c r="D9" s="2" t="s">
        <v>3087</v>
      </c>
      <c r="E9" s="2" t="s">
        <v>3110</v>
      </c>
      <c r="F9" s="4" t="s">
        <v>3111</v>
      </c>
    </row>
    <row r="10" spans="1:6" x14ac:dyDescent="0.3">
      <c r="A10" s="3" t="s">
        <v>2094</v>
      </c>
      <c r="B10" s="2" t="s">
        <v>3112</v>
      </c>
      <c r="C10" s="2" t="s">
        <v>63</v>
      </c>
      <c r="D10" s="2" t="s">
        <v>64</v>
      </c>
      <c r="E10" s="2" t="s">
        <v>3113</v>
      </c>
      <c r="F10" s="4" t="s">
        <v>3114</v>
      </c>
    </row>
    <row r="11" spans="1:6" x14ac:dyDescent="0.3">
      <c r="A11" s="3" t="s">
        <v>2095</v>
      </c>
      <c r="B11" s="2" t="s">
        <v>3115</v>
      </c>
      <c r="C11" s="2" t="s">
        <v>67</v>
      </c>
      <c r="D11" s="2" t="s">
        <v>3116</v>
      </c>
      <c r="E11" s="2" t="s">
        <v>3117</v>
      </c>
      <c r="F11" s="4" t="s">
        <v>3118</v>
      </c>
    </row>
    <row r="12" spans="1:6" x14ac:dyDescent="0.3">
      <c r="A12" s="3" t="s">
        <v>2096</v>
      </c>
      <c r="B12" s="2" t="s">
        <v>3119</v>
      </c>
      <c r="C12" s="2" t="s">
        <v>74</v>
      </c>
      <c r="D12" s="2" t="s">
        <v>75</v>
      </c>
      <c r="E12" s="2" t="s">
        <v>3120</v>
      </c>
      <c r="F12" s="4" t="s">
        <v>3121</v>
      </c>
    </row>
    <row r="13" spans="1:6" x14ac:dyDescent="0.3">
      <c r="A13" s="3" t="s">
        <v>2097</v>
      </c>
      <c r="B13" s="2" t="s">
        <v>3122</v>
      </c>
      <c r="C13" s="2" t="s">
        <v>79</v>
      </c>
      <c r="D13" s="2" t="s">
        <v>3123</v>
      </c>
      <c r="E13" s="2" t="s">
        <v>3124</v>
      </c>
      <c r="F13" s="4" t="s">
        <v>3125</v>
      </c>
    </row>
    <row r="14" spans="1:6" x14ac:dyDescent="0.3">
      <c r="A14" s="3" t="s">
        <v>2098</v>
      </c>
      <c r="B14" s="2" t="s">
        <v>3119</v>
      </c>
      <c r="C14" s="2" t="s">
        <v>85</v>
      </c>
      <c r="D14" s="2" t="s">
        <v>75</v>
      </c>
      <c r="E14" s="2" t="s">
        <v>3126</v>
      </c>
      <c r="F14" s="4" t="s">
        <v>3127</v>
      </c>
    </row>
    <row r="15" spans="1:6" x14ac:dyDescent="0.3">
      <c r="A15" s="3" t="s">
        <v>2099</v>
      </c>
      <c r="B15" s="2" t="s">
        <v>3128</v>
      </c>
      <c r="C15" s="2" t="s">
        <v>89</v>
      </c>
      <c r="D15" s="2" t="s">
        <v>3128</v>
      </c>
      <c r="E15" s="2" t="s">
        <v>3129</v>
      </c>
      <c r="F15" s="4" t="s">
        <v>3130</v>
      </c>
    </row>
    <row r="16" spans="1:6" x14ac:dyDescent="0.3">
      <c r="A16" s="3" t="s">
        <v>2100</v>
      </c>
      <c r="B16" s="2" t="s">
        <v>3093</v>
      </c>
      <c r="C16" s="2" t="s">
        <v>91</v>
      </c>
      <c r="D16" s="2" t="s">
        <v>3094</v>
      </c>
      <c r="E16" s="2" t="s">
        <v>3131</v>
      </c>
      <c r="F16" s="4" t="s">
        <v>3132</v>
      </c>
    </row>
    <row r="17" spans="1:6" x14ac:dyDescent="0.3">
      <c r="A17" s="3" t="s">
        <v>2101</v>
      </c>
      <c r="B17" s="2" t="s">
        <v>3133</v>
      </c>
      <c r="C17" s="2" t="s">
        <v>93</v>
      </c>
      <c r="D17" s="2" t="s">
        <v>3134</v>
      </c>
      <c r="E17" s="2" t="s">
        <v>3135</v>
      </c>
      <c r="F17" s="4" t="s">
        <v>3136</v>
      </c>
    </row>
    <row r="18" spans="1:6" x14ac:dyDescent="0.3">
      <c r="A18" s="3" t="s">
        <v>2102</v>
      </c>
      <c r="B18" s="2" t="s">
        <v>3090</v>
      </c>
      <c r="C18" s="2" t="s">
        <v>97</v>
      </c>
      <c r="D18" s="2" t="s">
        <v>3091</v>
      </c>
      <c r="E18" s="2" t="s">
        <v>3137</v>
      </c>
      <c r="F18" s="4" t="s">
        <v>3138</v>
      </c>
    </row>
    <row r="19" spans="1:6" x14ac:dyDescent="0.3">
      <c r="A19" s="3" t="s">
        <v>2103</v>
      </c>
      <c r="B19" s="2" t="s">
        <v>3139</v>
      </c>
      <c r="C19" s="2" t="s">
        <v>100</v>
      </c>
      <c r="D19" s="2" t="s">
        <v>3107</v>
      </c>
      <c r="E19" s="2" t="s">
        <v>3140</v>
      </c>
      <c r="F19" s="4" t="s">
        <v>3141</v>
      </c>
    </row>
    <row r="20" spans="1:6" x14ac:dyDescent="0.3">
      <c r="A20" s="3" t="s">
        <v>2104</v>
      </c>
      <c r="B20" s="2" t="s">
        <v>3112</v>
      </c>
      <c r="C20" s="2" t="s">
        <v>105</v>
      </c>
      <c r="D20" s="2" t="s">
        <v>64</v>
      </c>
      <c r="E20" s="2" t="s">
        <v>3142</v>
      </c>
      <c r="F20" s="4" t="s">
        <v>3143</v>
      </c>
    </row>
    <row r="21" spans="1:6" x14ac:dyDescent="0.3">
      <c r="A21" s="3" t="s">
        <v>2105</v>
      </c>
      <c r="B21" s="2" t="s">
        <v>3085</v>
      </c>
      <c r="C21" s="2" t="s">
        <v>109</v>
      </c>
      <c r="D21" s="2" t="s">
        <v>3087</v>
      </c>
      <c r="E21" s="2" t="s">
        <v>3144</v>
      </c>
      <c r="F21" s="4" t="s">
        <v>3145</v>
      </c>
    </row>
    <row r="22" spans="1:6" x14ac:dyDescent="0.3">
      <c r="A22" s="3" t="s">
        <v>2106</v>
      </c>
      <c r="B22" s="2" t="s">
        <v>3106</v>
      </c>
      <c r="C22" s="2" t="s">
        <v>111</v>
      </c>
      <c r="D22" s="2" t="s">
        <v>3107</v>
      </c>
      <c r="E22" s="2" t="s">
        <v>3146</v>
      </c>
      <c r="F22" s="4" t="s">
        <v>3147</v>
      </c>
    </row>
    <row r="23" spans="1:6" x14ac:dyDescent="0.3">
      <c r="A23" s="3" t="s">
        <v>2107</v>
      </c>
      <c r="B23" s="2" t="s">
        <v>3133</v>
      </c>
      <c r="C23" s="2" t="s">
        <v>113</v>
      </c>
      <c r="D23" s="2" t="s">
        <v>3134</v>
      </c>
      <c r="E23" s="2" t="s">
        <v>3148</v>
      </c>
      <c r="F23" s="4" t="s">
        <v>3149</v>
      </c>
    </row>
    <row r="24" spans="1:6" x14ac:dyDescent="0.3">
      <c r="A24" s="3" t="s">
        <v>2108</v>
      </c>
      <c r="B24" s="2" t="s">
        <v>3150</v>
      </c>
      <c r="C24" s="2" t="s">
        <v>115</v>
      </c>
      <c r="D24" s="2" t="s">
        <v>3151</v>
      </c>
      <c r="E24" s="2" t="s">
        <v>3152</v>
      </c>
      <c r="F24" s="4" t="s">
        <v>3153</v>
      </c>
    </row>
    <row r="25" spans="1:6" x14ac:dyDescent="0.3">
      <c r="A25" s="3" t="s">
        <v>2109</v>
      </c>
      <c r="B25" s="2" t="s">
        <v>3154</v>
      </c>
      <c r="C25" s="2" t="s">
        <v>120</v>
      </c>
      <c r="D25" s="2" t="s">
        <v>3155</v>
      </c>
      <c r="E25" s="2" t="s">
        <v>3156</v>
      </c>
      <c r="F25" s="4" t="s">
        <v>3157</v>
      </c>
    </row>
    <row r="26" spans="1:6" x14ac:dyDescent="0.3">
      <c r="A26" s="3" t="s">
        <v>2110</v>
      </c>
      <c r="B26" s="2" t="s">
        <v>3106</v>
      </c>
      <c r="C26" s="2" t="s">
        <v>125</v>
      </c>
      <c r="D26" s="2" t="s">
        <v>3107</v>
      </c>
      <c r="E26" s="2" t="s">
        <v>3158</v>
      </c>
      <c r="F26" s="4" t="s">
        <v>3159</v>
      </c>
    </row>
    <row r="27" spans="1:6" x14ac:dyDescent="0.3">
      <c r="A27" s="3" t="s">
        <v>2111</v>
      </c>
      <c r="B27" s="2" t="s">
        <v>3154</v>
      </c>
      <c r="C27" s="2" t="s">
        <v>127</v>
      </c>
      <c r="D27" s="2" t="s">
        <v>3155</v>
      </c>
      <c r="E27" s="2" t="s">
        <v>3160</v>
      </c>
      <c r="F27" s="4" t="s">
        <v>3161</v>
      </c>
    </row>
    <row r="28" spans="1:6" x14ac:dyDescent="0.3">
      <c r="A28" s="3" t="s">
        <v>2112</v>
      </c>
      <c r="B28" s="2" t="s">
        <v>3133</v>
      </c>
      <c r="C28" s="2" t="s">
        <v>129</v>
      </c>
      <c r="D28" s="2" t="s">
        <v>3134</v>
      </c>
      <c r="E28" s="2" t="s">
        <v>3162</v>
      </c>
      <c r="F28" s="4" t="s">
        <v>3163</v>
      </c>
    </row>
    <row r="29" spans="1:6" x14ac:dyDescent="0.3">
      <c r="A29" s="3" t="s">
        <v>2113</v>
      </c>
      <c r="B29" s="2" t="s">
        <v>3164</v>
      </c>
      <c r="C29" s="2" t="s">
        <v>132</v>
      </c>
      <c r="D29" s="2" t="s">
        <v>3165</v>
      </c>
      <c r="E29" s="2" t="s">
        <v>3166</v>
      </c>
      <c r="F29" s="4" t="s">
        <v>3167</v>
      </c>
    </row>
    <row r="30" spans="1:6" x14ac:dyDescent="0.3">
      <c r="A30" s="3" t="s">
        <v>2114</v>
      </c>
      <c r="B30" s="2" t="s">
        <v>3168</v>
      </c>
      <c r="C30" s="2" t="s">
        <v>136</v>
      </c>
      <c r="D30" s="2" t="s">
        <v>3169</v>
      </c>
      <c r="E30" s="2" t="s">
        <v>3170</v>
      </c>
      <c r="F30" s="4" t="s">
        <v>3171</v>
      </c>
    </row>
    <row r="31" spans="1:6" x14ac:dyDescent="0.3">
      <c r="A31" s="3" t="s">
        <v>2115</v>
      </c>
      <c r="B31" s="2" t="s">
        <v>3102</v>
      </c>
      <c r="C31" s="2" t="s">
        <v>139</v>
      </c>
      <c r="D31" s="2" t="s">
        <v>3103</v>
      </c>
      <c r="E31" s="2" t="s">
        <v>3172</v>
      </c>
      <c r="F31" s="4" t="s">
        <v>3173</v>
      </c>
    </row>
    <row r="32" spans="1:6" x14ac:dyDescent="0.3">
      <c r="A32" s="3" t="s">
        <v>2116</v>
      </c>
      <c r="B32" s="2" t="s">
        <v>3102</v>
      </c>
      <c r="C32" s="2" t="s">
        <v>141</v>
      </c>
      <c r="D32" s="2" t="s">
        <v>3103</v>
      </c>
      <c r="E32" s="2" t="s">
        <v>3174</v>
      </c>
      <c r="F32" s="4" t="s">
        <v>3175</v>
      </c>
    </row>
    <row r="33" spans="1:6" x14ac:dyDescent="0.3">
      <c r="A33" s="3" t="s">
        <v>2117</v>
      </c>
      <c r="B33" s="2" t="s">
        <v>3176</v>
      </c>
      <c r="C33" s="2" t="s">
        <v>143</v>
      </c>
      <c r="D33" s="2" t="s">
        <v>3177</v>
      </c>
      <c r="E33" s="2" t="s">
        <v>3178</v>
      </c>
      <c r="F33" s="4" t="s">
        <v>3179</v>
      </c>
    </row>
    <row r="34" spans="1:6" x14ac:dyDescent="0.3">
      <c r="A34" s="3" t="s">
        <v>2118</v>
      </c>
      <c r="B34" s="2" t="s">
        <v>3180</v>
      </c>
      <c r="C34" s="2" t="s">
        <v>147</v>
      </c>
      <c r="D34" s="2" t="s">
        <v>3181</v>
      </c>
      <c r="E34" s="2" t="s">
        <v>3182</v>
      </c>
      <c r="F34" s="4" t="s">
        <v>3183</v>
      </c>
    </row>
    <row r="35" spans="1:6" x14ac:dyDescent="0.3">
      <c r="A35" s="3" t="s">
        <v>2119</v>
      </c>
      <c r="B35" s="2" t="s">
        <v>3154</v>
      </c>
      <c r="C35" s="2" t="s">
        <v>151</v>
      </c>
      <c r="D35" s="2" t="s">
        <v>3155</v>
      </c>
      <c r="E35" s="2" t="s">
        <v>3184</v>
      </c>
      <c r="F35" s="4" t="s">
        <v>3185</v>
      </c>
    </row>
    <row r="36" spans="1:6" x14ac:dyDescent="0.3">
      <c r="A36" s="3" t="s">
        <v>2120</v>
      </c>
      <c r="B36" s="2" t="s">
        <v>3112</v>
      </c>
      <c r="C36" s="2" t="s">
        <v>153</v>
      </c>
      <c r="D36" s="2" t="s">
        <v>64</v>
      </c>
      <c r="E36" s="2" t="s">
        <v>3186</v>
      </c>
      <c r="F36" s="4" t="s">
        <v>3187</v>
      </c>
    </row>
    <row r="37" spans="1:6" x14ac:dyDescent="0.3">
      <c r="A37" s="3" t="s">
        <v>2121</v>
      </c>
      <c r="B37" s="2" t="s">
        <v>3154</v>
      </c>
      <c r="C37" s="2" t="s">
        <v>155</v>
      </c>
      <c r="D37" s="2" t="s">
        <v>3155</v>
      </c>
      <c r="E37" s="2" t="s">
        <v>3188</v>
      </c>
      <c r="F37" s="4" t="s">
        <v>3189</v>
      </c>
    </row>
    <row r="38" spans="1:6" x14ac:dyDescent="0.3">
      <c r="A38" s="3" t="s">
        <v>2122</v>
      </c>
      <c r="B38" s="2" t="s">
        <v>3133</v>
      </c>
      <c r="C38" s="2" t="s">
        <v>157</v>
      </c>
      <c r="D38" s="2" t="s">
        <v>3134</v>
      </c>
      <c r="E38" s="2" t="s">
        <v>3190</v>
      </c>
      <c r="F38" s="4" t="s">
        <v>3191</v>
      </c>
    </row>
    <row r="39" spans="1:6" x14ac:dyDescent="0.3">
      <c r="A39" s="3" t="s">
        <v>2123</v>
      </c>
      <c r="B39" s="2" t="s">
        <v>3102</v>
      </c>
      <c r="C39" s="2" t="s">
        <v>159</v>
      </c>
      <c r="D39" s="2" t="s">
        <v>3103</v>
      </c>
      <c r="E39" s="2" t="s">
        <v>3192</v>
      </c>
      <c r="F39" s="4" t="s">
        <v>3193</v>
      </c>
    </row>
    <row r="40" spans="1:6" x14ac:dyDescent="0.3">
      <c r="A40" s="3" t="s">
        <v>2124</v>
      </c>
      <c r="B40" s="2" t="s">
        <v>3194</v>
      </c>
      <c r="C40" s="2" t="s">
        <v>161</v>
      </c>
      <c r="D40" s="2" t="s">
        <v>3155</v>
      </c>
      <c r="E40" s="2" t="s">
        <v>3195</v>
      </c>
      <c r="F40" s="4" t="s">
        <v>3196</v>
      </c>
    </row>
    <row r="41" spans="1:6" x14ac:dyDescent="0.3">
      <c r="A41" s="3" t="s">
        <v>2125</v>
      </c>
      <c r="B41" s="2" t="s">
        <v>3133</v>
      </c>
      <c r="C41" s="2" t="s">
        <v>165</v>
      </c>
      <c r="D41" s="2" t="s">
        <v>3134</v>
      </c>
      <c r="E41" s="2" t="s">
        <v>3197</v>
      </c>
      <c r="F41" s="4" t="s">
        <v>3198</v>
      </c>
    </row>
    <row r="42" spans="1:6" x14ac:dyDescent="0.3">
      <c r="A42" s="3" t="s">
        <v>2126</v>
      </c>
      <c r="B42" s="2" t="s">
        <v>3119</v>
      </c>
      <c r="C42" s="2" t="s">
        <v>167</v>
      </c>
      <c r="D42" s="2" t="s">
        <v>75</v>
      </c>
      <c r="E42" s="2" t="s">
        <v>3199</v>
      </c>
      <c r="F42" s="4" t="s">
        <v>3200</v>
      </c>
    </row>
    <row r="43" spans="1:6" x14ac:dyDescent="0.3">
      <c r="A43" s="3" t="s">
        <v>2127</v>
      </c>
      <c r="B43" s="2" t="s">
        <v>3168</v>
      </c>
      <c r="C43" s="2" t="s">
        <v>170</v>
      </c>
      <c r="D43" s="2" t="s">
        <v>3169</v>
      </c>
      <c r="E43" s="2" t="s">
        <v>3201</v>
      </c>
      <c r="F43" s="4" t="s">
        <v>3202</v>
      </c>
    </row>
    <row r="44" spans="1:6" x14ac:dyDescent="0.3">
      <c r="A44" s="3" t="s">
        <v>2128</v>
      </c>
      <c r="B44" s="2" t="s">
        <v>3093</v>
      </c>
      <c r="C44" s="2" t="s">
        <v>172</v>
      </c>
      <c r="D44" s="2" t="s">
        <v>3094</v>
      </c>
      <c r="E44" s="2" t="s">
        <v>3203</v>
      </c>
      <c r="F44" s="4" t="s">
        <v>3204</v>
      </c>
    </row>
    <row r="45" spans="1:6" x14ac:dyDescent="0.3">
      <c r="A45" s="3" t="s">
        <v>2129</v>
      </c>
      <c r="B45" s="2" t="s">
        <v>3119</v>
      </c>
      <c r="C45" s="2" t="s">
        <v>174</v>
      </c>
      <c r="D45" s="2" t="s">
        <v>75</v>
      </c>
      <c r="E45" s="2" t="s">
        <v>3205</v>
      </c>
      <c r="F45" s="4" t="s">
        <v>3206</v>
      </c>
    </row>
    <row r="46" spans="1:6" x14ac:dyDescent="0.3">
      <c r="A46" s="3" t="s">
        <v>2130</v>
      </c>
      <c r="B46" s="2" t="s">
        <v>3102</v>
      </c>
      <c r="C46" s="2" t="s">
        <v>176</v>
      </c>
      <c r="D46" s="2" t="s">
        <v>3103</v>
      </c>
      <c r="E46" s="2" t="s">
        <v>3207</v>
      </c>
      <c r="F46" s="4" t="s">
        <v>3208</v>
      </c>
    </row>
    <row r="47" spans="1:6" x14ac:dyDescent="0.3">
      <c r="A47" s="3" t="s">
        <v>2131</v>
      </c>
      <c r="B47" s="2" t="s">
        <v>3194</v>
      </c>
      <c r="C47" s="2" t="s">
        <v>178</v>
      </c>
      <c r="D47" s="2" t="s">
        <v>3155</v>
      </c>
      <c r="E47" s="2" t="s">
        <v>3209</v>
      </c>
      <c r="F47" s="4" t="s">
        <v>3210</v>
      </c>
    </row>
    <row r="48" spans="1:6" x14ac:dyDescent="0.3">
      <c r="A48" s="3" t="s">
        <v>2132</v>
      </c>
      <c r="B48" s="2" t="s">
        <v>3180</v>
      </c>
      <c r="C48" s="2" t="s">
        <v>181</v>
      </c>
      <c r="D48" s="2" t="s">
        <v>3181</v>
      </c>
      <c r="E48" s="2" t="s">
        <v>3211</v>
      </c>
      <c r="F48" s="4" t="s">
        <v>3212</v>
      </c>
    </row>
    <row r="49" spans="1:6" x14ac:dyDescent="0.3">
      <c r="A49" s="3" t="s">
        <v>2133</v>
      </c>
      <c r="B49" s="2" t="s">
        <v>3213</v>
      </c>
      <c r="C49" s="2" t="s">
        <v>183</v>
      </c>
      <c r="D49" s="2" t="s">
        <v>3214</v>
      </c>
      <c r="E49" s="2" t="s">
        <v>3215</v>
      </c>
      <c r="F49" s="4" t="s">
        <v>3216</v>
      </c>
    </row>
    <row r="50" spans="1:6" x14ac:dyDescent="0.3">
      <c r="A50" s="3" t="s">
        <v>2134</v>
      </c>
      <c r="B50" s="2" t="s">
        <v>3217</v>
      </c>
      <c r="C50" s="2" t="s">
        <v>187</v>
      </c>
      <c r="D50" s="2" t="s">
        <v>3218</v>
      </c>
      <c r="E50" s="2" t="s">
        <v>3219</v>
      </c>
      <c r="F50" s="4" t="s">
        <v>3220</v>
      </c>
    </row>
    <row r="51" spans="1:6" x14ac:dyDescent="0.3">
      <c r="A51" s="3" t="s">
        <v>2135</v>
      </c>
      <c r="B51" s="2" t="s">
        <v>3128</v>
      </c>
      <c r="C51" s="2" t="s">
        <v>190</v>
      </c>
      <c r="D51" s="2" t="s">
        <v>3128</v>
      </c>
      <c r="E51" s="2" t="s">
        <v>3221</v>
      </c>
      <c r="F51" s="4" t="s">
        <v>3222</v>
      </c>
    </row>
    <row r="52" spans="1:6" x14ac:dyDescent="0.3">
      <c r="A52" s="3" t="s">
        <v>2136</v>
      </c>
      <c r="B52" s="2" t="s">
        <v>3122</v>
      </c>
      <c r="C52" s="2" t="s">
        <v>192</v>
      </c>
      <c r="D52" s="2" t="s">
        <v>3123</v>
      </c>
      <c r="E52" s="2" t="s">
        <v>3223</v>
      </c>
      <c r="F52" s="4" t="s">
        <v>3224</v>
      </c>
    </row>
    <row r="53" spans="1:6" x14ac:dyDescent="0.3">
      <c r="A53" s="3" t="s">
        <v>2137</v>
      </c>
      <c r="B53" s="2" t="s">
        <v>3176</v>
      </c>
      <c r="C53" s="2" t="s">
        <v>194</v>
      </c>
      <c r="D53" s="2" t="s">
        <v>3177</v>
      </c>
      <c r="E53" s="2" t="s">
        <v>3225</v>
      </c>
      <c r="F53" s="4" t="s">
        <v>3226</v>
      </c>
    </row>
    <row r="54" spans="1:6" x14ac:dyDescent="0.3">
      <c r="A54" s="3" t="s">
        <v>2138</v>
      </c>
      <c r="B54" s="2" t="s">
        <v>3093</v>
      </c>
      <c r="C54" s="2" t="s">
        <v>196</v>
      </c>
      <c r="D54" s="2" t="s">
        <v>3094</v>
      </c>
      <c r="E54" s="2" t="s">
        <v>3227</v>
      </c>
      <c r="F54" s="4" t="s">
        <v>3228</v>
      </c>
    </row>
    <row r="55" spans="1:6" x14ac:dyDescent="0.3">
      <c r="A55" s="3" t="s">
        <v>2139</v>
      </c>
      <c r="B55" s="2" t="s">
        <v>3229</v>
      </c>
      <c r="C55" s="2" t="s">
        <v>198</v>
      </c>
      <c r="D55" s="2" t="s">
        <v>3230</v>
      </c>
      <c r="E55" s="2" t="s">
        <v>3231</v>
      </c>
      <c r="F55" s="4" t="s">
        <v>3232</v>
      </c>
    </row>
    <row r="56" spans="1:6" x14ac:dyDescent="0.3">
      <c r="A56" s="3" t="s">
        <v>2140</v>
      </c>
      <c r="B56" s="2" t="s">
        <v>3115</v>
      </c>
      <c r="C56" s="2" t="s">
        <v>201</v>
      </c>
      <c r="D56" s="2" t="s">
        <v>3116</v>
      </c>
      <c r="E56" s="2" t="s">
        <v>3158</v>
      </c>
      <c r="F56" s="4" t="s">
        <v>3233</v>
      </c>
    </row>
    <row r="57" spans="1:6" x14ac:dyDescent="0.3">
      <c r="A57" s="3" t="s">
        <v>2141</v>
      </c>
      <c r="B57" s="2" t="s">
        <v>3119</v>
      </c>
      <c r="C57" s="2" t="s">
        <v>203</v>
      </c>
      <c r="D57" s="2" t="s">
        <v>75</v>
      </c>
      <c r="E57" s="2" t="s">
        <v>3234</v>
      </c>
      <c r="F57" s="4" t="s">
        <v>3235</v>
      </c>
    </row>
    <row r="58" spans="1:6" x14ac:dyDescent="0.3">
      <c r="A58" s="3" t="s">
        <v>2142</v>
      </c>
      <c r="B58" s="2" t="s">
        <v>3119</v>
      </c>
      <c r="C58" s="2" t="s">
        <v>205</v>
      </c>
      <c r="D58" s="2" t="s">
        <v>75</v>
      </c>
      <c r="E58" s="2" t="s">
        <v>3236</v>
      </c>
      <c r="F58" s="4" t="s">
        <v>3237</v>
      </c>
    </row>
    <row r="59" spans="1:6" x14ac:dyDescent="0.3">
      <c r="A59" s="3" t="s">
        <v>2143</v>
      </c>
      <c r="B59" s="2" t="s">
        <v>3168</v>
      </c>
      <c r="C59" s="2" t="s">
        <v>207</v>
      </c>
      <c r="D59" s="2" t="s">
        <v>3169</v>
      </c>
      <c r="E59" s="2" t="s">
        <v>3238</v>
      </c>
      <c r="F59" s="4" t="s">
        <v>3239</v>
      </c>
    </row>
    <row r="60" spans="1:6" x14ac:dyDescent="0.3">
      <c r="A60" s="3" t="s">
        <v>2144</v>
      </c>
      <c r="B60" s="2" t="s">
        <v>3139</v>
      </c>
      <c r="C60" s="2" t="s">
        <v>209</v>
      </c>
      <c r="D60" s="2" t="s">
        <v>3107</v>
      </c>
      <c r="E60" s="2" t="s">
        <v>3240</v>
      </c>
      <c r="F60" s="4" t="s">
        <v>3241</v>
      </c>
    </row>
    <row r="61" spans="1:6" x14ac:dyDescent="0.3">
      <c r="A61" s="3" t="s">
        <v>2145</v>
      </c>
      <c r="B61" s="2" t="s">
        <v>3194</v>
      </c>
      <c r="C61" s="2" t="s">
        <v>211</v>
      </c>
      <c r="D61" s="2" t="s">
        <v>3155</v>
      </c>
      <c r="E61" s="2" t="s">
        <v>3242</v>
      </c>
      <c r="F61" s="4" t="s">
        <v>3243</v>
      </c>
    </row>
    <row r="62" spans="1:6" x14ac:dyDescent="0.3">
      <c r="A62" s="3" t="s">
        <v>2146</v>
      </c>
      <c r="B62" s="2" t="s">
        <v>3106</v>
      </c>
      <c r="C62" s="2" t="s">
        <v>213</v>
      </c>
      <c r="D62" s="2" t="s">
        <v>3107</v>
      </c>
      <c r="E62" s="2" t="s">
        <v>3244</v>
      </c>
      <c r="F62" s="4" t="s">
        <v>3245</v>
      </c>
    </row>
    <row r="63" spans="1:6" x14ac:dyDescent="0.3">
      <c r="A63" s="3" t="s">
        <v>2147</v>
      </c>
      <c r="B63" s="2" t="s">
        <v>3093</v>
      </c>
      <c r="C63" s="2" t="s">
        <v>215</v>
      </c>
      <c r="D63" s="2" t="s">
        <v>3094</v>
      </c>
      <c r="E63" s="2" t="s">
        <v>3246</v>
      </c>
      <c r="F63" s="4" t="s">
        <v>3247</v>
      </c>
    </row>
    <row r="64" spans="1:6" x14ac:dyDescent="0.3">
      <c r="A64" s="3" t="s">
        <v>2148</v>
      </c>
      <c r="B64" s="2" t="s">
        <v>3164</v>
      </c>
      <c r="C64" s="2" t="s">
        <v>217</v>
      </c>
      <c r="D64" s="2" t="s">
        <v>3165</v>
      </c>
      <c r="E64" s="2" t="s">
        <v>3248</v>
      </c>
      <c r="F64" s="4" t="s">
        <v>3249</v>
      </c>
    </row>
    <row r="65" spans="1:6" x14ac:dyDescent="0.3">
      <c r="A65" s="3" t="s">
        <v>2149</v>
      </c>
      <c r="B65" s="2" t="s">
        <v>3106</v>
      </c>
      <c r="C65" s="2" t="s">
        <v>219</v>
      </c>
      <c r="D65" s="2" t="s">
        <v>3107</v>
      </c>
      <c r="E65" s="2" t="s">
        <v>3250</v>
      </c>
      <c r="F65" s="4" t="s">
        <v>3251</v>
      </c>
    </row>
    <row r="66" spans="1:6" x14ac:dyDescent="0.3">
      <c r="A66" s="3" t="s">
        <v>2150</v>
      </c>
      <c r="B66" s="2" t="s">
        <v>3164</v>
      </c>
      <c r="C66" s="2" t="s">
        <v>221</v>
      </c>
      <c r="D66" s="2" t="s">
        <v>3165</v>
      </c>
      <c r="E66" s="2" t="s">
        <v>3252</v>
      </c>
      <c r="F66" s="4" t="s">
        <v>3253</v>
      </c>
    </row>
    <row r="67" spans="1:6" x14ac:dyDescent="0.3">
      <c r="A67" s="3" t="s">
        <v>2151</v>
      </c>
      <c r="B67" s="2" t="s">
        <v>3229</v>
      </c>
      <c r="C67" s="2" t="s">
        <v>223</v>
      </c>
      <c r="D67" s="2" t="s">
        <v>3230</v>
      </c>
      <c r="E67" s="2" t="s">
        <v>3254</v>
      </c>
      <c r="F67" s="4" t="s">
        <v>3255</v>
      </c>
    </row>
    <row r="68" spans="1:6" x14ac:dyDescent="0.3">
      <c r="A68" s="3" t="s">
        <v>2152</v>
      </c>
      <c r="B68" s="2" t="s">
        <v>3150</v>
      </c>
      <c r="C68" s="2" t="s">
        <v>225</v>
      </c>
      <c r="D68" s="2" t="s">
        <v>3151</v>
      </c>
      <c r="E68" s="2" t="s">
        <v>3256</v>
      </c>
      <c r="F68" s="4" t="s">
        <v>3257</v>
      </c>
    </row>
    <row r="69" spans="1:6" x14ac:dyDescent="0.3">
      <c r="A69" s="3" t="s">
        <v>2153</v>
      </c>
      <c r="B69" s="2" t="s">
        <v>3150</v>
      </c>
      <c r="C69" s="2" t="s">
        <v>227</v>
      </c>
      <c r="D69" s="2" t="s">
        <v>3151</v>
      </c>
      <c r="E69" s="2" t="s">
        <v>3258</v>
      </c>
      <c r="F69" s="4" t="s">
        <v>3259</v>
      </c>
    </row>
    <row r="70" spans="1:6" x14ac:dyDescent="0.3">
      <c r="A70" s="3" t="s">
        <v>2154</v>
      </c>
      <c r="B70" s="2" t="s">
        <v>3122</v>
      </c>
      <c r="C70" s="2" t="s">
        <v>229</v>
      </c>
      <c r="D70" s="2" t="s">
        <v>3123</v>
      </c>
      <c r="E70" s="2" t="s">
        <v>3260</v>
      </c>
      <c r="F70" s="4" t="s">
        <v>3261</v>
      </c>
    </row>
    <row r="71" spans="1:6" x14ac:dyDescent="0.3">
      <c r="A71" s="3" t="s">
        <v>2155</v>
      </c>
      <c r="B71" s="2" t="s">
        <v>3213</v>
      </c>
      <c r="C71" s="2" t="s">
        <v>231</v>
      </c>
      <c r="D71" s="2" t="s">
        <v>3214</v>
      </c>
      <c r="E71" s="2" t="s">
        <v>3262</v>
      </c>
      <c r="F71" s="4" t="s">
        <v>3263</v>
      </c>
    </row>
    <row r="72" spans="1:6" x14ac:dyDescent="0.3">
      <c r="A72" s="3" t="s">
        <v>2156</v>
      </c>
      <c r="B72" s="2" t="s">
        <v>3194</v>
      </c>
      <c r="C72" s="2" t="s">
        <v>233</v>
      </c>
      <c r="D72" s="2" t="s">
        <v>3155</v>
      </c>
      <c r="E72" s="2" t="s">
        <v>3264</v>
      </c>
      <c r="F72" s="4" t="s">
        <v>3265</v>
      </c>
    </row>
    <row r="73" spans="1:6" x14ac:dyDescent="0.3">
      <c r="A73" s="3" t="s">
        <v>2157</v>
      </c>
      <c r="B73" s="2" t="s">
        <v>3085</v>
      </c>
      <c r="C73" s="2" t="s">
        <v>235</v>
      </c>
      <c r="D73" s="2" t="s">
        <v>3087</v>
      </c>
      <c r="E73" s="2" t="s">
        <v>3266</v>
      </c>
      <c r="F73" s="4" t="s">
        <v>3267</v>
      </c>
    </row>
    <row r="74" spans="1:6" x14ac:dyDescent="0.3">
      <c r="A74" s="3" t="s">
        <v>2158</v>
      </c>
      <c r="B74" s="2" t="s">
        <v>3112</v>
      </c>
      <c r="C74" s="2" t="s">
        <v>237</v>
      </c>
      <c r="D74" s="2" t="s">
        <v>64</v>
      </c>
      <c r="E74" s="2" t="s">
        <v>3268</v>
      </c>
      <c r="F74" s="4" t="s">
        <v>3269</v>
      </c>
    </row>
    <row r="75" spans="1:6" x14ac:dyDescent="0.3">
      <c r="A75" s="3" t="s">
        <v>2159</v>
      </c>
      <c r="B75" s="2" t="s">
        <v>3090</v>
      </c>
      <c r="C75" s="2" t="s">
        <v>240</v>
      </c>
      <c r="D75" s="2" t="s">
        <v>3091</v>
      </c>
      <c r="E75" s="2" t="s">
        <v>3270</v>
      </c>
      <c r="F75" s="4" t="s">
        <v>3271</v>
      </c>
    </row>
    <row r="76" spans="1:6" x14ac:dyDescent="0.3">
      <c r="A76" s="3" t="s">
        <v>2160</v>
      </c>
      <c r="B76" s="2" t="s">
        <v>3128</v>
      </c>
      <c r="C76" s="2" t="s">
        <v>242</v>
      </c>
      <c r="D76" s="2" t="s">
        <v>3128</v>
      </c>
      <c r="E76" s="2" t="s">
        <v>3272</v>
      </c>
      <c r="F76" s="4" t="s">
        <v>3273</v>
      </c>
    </row>
    <row r="77" spans="1:6" x14ac:dyDescent="0.3">
      <c r="A77" s="3" t="s">
        <v>2161</v>
      </c>
      <c r="B77" s="2" t="s">
        <v>3139</v>
      </c>
      <c r="C77" s="2" t="s">
        <v>244</v>
      </c>
      <c r="D77" s="2" t="s">
        <v>3107</v>
      </c>
      <c r="E77" s="2" t="s">
        <v>3274</v>
      </c>
      <c r="F77" s="4" t="s">
        <v>3275</v>
      </c>
    </row>
    <row r="78" spans="1:6" x14ac:dyDescent="0.3">
      <c r="A78" s="3" t="s">
        <v>2162</v>
      </c>
      <c r="B78" s="2" t="s">
        <v>3090</v>
      </c>
      <c r="C78" s="2" t="s">
        <v>246</v>
      </c>
      <c r="D78" s="2" t="s">
        <v>3091</v>
      </c>
      <c r="E78" s="2" t="s">
        <v>3276</v>
      </c>
      <c r="F78" s="4" t="s">
        <v>3277</v>
      </c>
    </row>
    <row r="79" spans="1:6" x14ac:dyDescent="0.3">
      <c r="A79" s="3" t="s">
        <v>2163</v>
      </c>
      <c r="B79" s="2" t="s">
        <v>3229</v>
      </c>
      <c r="C79" s="2" t="s">
        <v>248</v>
      </c>
      <c r="D79" s="2" t="s">
        <v>3230</v>
      </c>
      <c r="E79" s="2" t="s">
        <v>3278</v>
      </c>
      <c r="F79" s="4" t="s">
        <v>3279</v>
      </c>
    </row>
    <row r="80" spans="1:6" x14ac:dyDescent="0.3">
      <c r="A80" s="3" t="s">
        <v>2164</v>
      </c>
      <c r="B80" s="2" t="s">
        <v>3168</v>
      </c>
      <c r="C80" s="2" t="s">
        <v>250</v>
      </c>
      <c r="D80" s="2" t="s">
        <v>3169</v>
      </c>
      <c r="E80" s="2" t="s">
        <v>3280</v>
      </c>
      <c r="F80" s="4" t="s">
        <v>3281</v>
      </c>
    </row>
    <row r="81" spans="1:6" x14ac:dyDescent="0.3">
      <c r="A81" s="3" t="s">
        <v>2165</v>
      </c>
      <c r="B81" s="2" t="s">
        <v>3139</v>
      </c>
      <c r="C81" s="2" t="s">
        <v>252</v>
      </c>
      <c r="D81" s="2" t="s">
        <v>3107</v>
      </c>
      <c r="E81" s="2" t="s">
        <v>3282</v>
      </c>
      <c r="F81" s="4" t="s">
        <v>3283</v>
      </c>
    </row>
    <row r="82" spans="1:6" x14ac:dyDescent="0.3">
      <c r="A82" s="3" t="s">
        <v>2166</v>
      </c>
      <c r="B82" s="2" t="s">
        <v>3122</v>
      </c>
      <c r="C82" s="2" t="s">
        <v>254</v>
      </c>
      <c r="D82" s="2" t="s">
        <v>3123</v>
      </c>
      <c r="E82" s="2" t="s">
        <v>3284</v>
      </c>
      <c r="F82" s="4" t="s">
        <v>3285</v>
      </c>
    </row>
    <row r="83" spans="1:6" x14ac:dyDescent="0.3">
      <c r="A83" s="3" t="s">
        <v>2167</v>
      </c>
      <c r="B83" s="2" t="s">
        <v>3180</v>
      </c>
      <c r="C83" s="2" t="s">
        <v>256</v>
      </c>
      <c r="D83" s="2" t="s">
        <v>3181</v>
      </c>
      <c r="E83" s="2" t="s">
        <v>3286</v>
      </c>
      <c r="F83" s="4" t="s">
        <v>3287</v>
      </c>
    </row>
    <row r="84" spans="1:6" x14ac:dyDescent="0.3">
      <c r="A84" s="3" t="s">
        <v>2168</v>
      </c>
      <c r="B84" s="2" t="s">
        <v>3213</v>
      </c>
      <c r="C84" s="2" t="s">
        <v>258</v>
      </c>
      <c r="D84" s="2" t="s">
        <v>3214</v>
      </c>
      <c r="E84" s="2" t="s">
        <v>3288</v>
      </c>
      <c r="F84" s="4" t="s">
        <v>3289</v>
      </c>
    </row>
    <row r="85" spans="1:6" x14ac:dyDescent="0.3">
      <c r="A85" s="3" t="s">
        <v>2169</v>
      </c>
      <c r="B85" s="2" t="s">
        <v>3154</v>
      </c>
      <c r="C85" s="2" t="s">
        <v>260</v>
      </c>
      <c r="D85" s="2" t="s">
        <v>3155</v>
      </c>
      <c r="E85" s="2" t="s">
        <v>3290</v>
      </c>
      <c r="F85" s="4" t="s">
        <v>3291</v>
      </c>
    </row>
    <row r="86" spans="1:6" x14ac:dyDescent="0.3">
      <c r="A86" s="3" t="s">
        <v>2170</v>
      </c>
      <c r="B86" s="2" t="s">
        <v>3154</v>
      </c>
      <c r="C86" s="2" t="s">
        <v>262</v>
      </c>
      <c r="D86" s="2" t="s">
        <v>3155</v>
      </c>
      <c r="E86" s="2" t="s">
        <v>3292</v>
      </c>
      <c r="F86" s="4" t="s">
        <v>3293</v>
      </c>
    </row>
    <row r="87" spans="1:6" x14ac:dyDescent="0.3">
      <c r="A87" s="3" t="s">
        <v>2171</v>
      </c>
      <c r="B87" s="2" t="s">
        <v>3213</v>
      </c>
      <c r="C87" s="2" t="s">
        <v>264</v>
      </c>
      <c r="D87" s="2" t="s">
        <v>3214</v>
      </c>
      <c r="E87" s="2" t="s">
        <v>3294</v>
      </c>
      <c r="F87" s="4" t="s">
        <v>3295</v>
      </c>
    </row>
    <row r="88" spans="1:6" x14ac:dyDescent="0.3">
      <c r="A88" s="3" t="s">
        <v>2172</v>
      </c>
      <c r="B88" s="2" t="s">
        <v>3112</v>
      </c>
      <c r="C88" s="2" t="s">
        <v>266</v>
      </c>
      <c r="D88" s="2" t="s">
        <v>64</v>
      </c>
      <c r="E88" s="2" t="s">
        <v>3296</v>
      </c>
      <c r="F88" s="4" t="s">
        <v>3297</v>
      </c>
    </row>
    <row r="89" spans="1:6" x14ac:dyDescent="0.3">
      <c r="A89" s="3" t="s">
        <v>2173</v>
      </c>
      <c r="B89" s="2" t="s">
        <v>3217</v>
      </c>
      <c r="C89" s="2" t="s">
        <v>268</v>
      </c>
      <c r="D89" s="2" t="s">
        <v>3218</v>
      </c>
      <c r="E89" s="2" t="s">
        <v>3298</v>
      </c>
      <c r="F89" s="4" t="s">
        <v>3299</v>
      </c>
    </row>
    <row r="90" spans="1:6" x14ac:dyDescent="0.3">
      <c r="A90" s="3" t="s">
        <v>2174</v>
      </c>
      <c r="B90" s="2" t="s">
        <v>3164</v>
      </c>
      <c r="C90" s="2" t="s">
        <v>270</v>
      </c>
      <c r="D90" s="2" t="s">
        <v>3165</v>
      </c>
      <c r="E90" s="2" t="s">
        <v>3300</v>
      </c>
      <c r="F90" s="4" t="s">
        <v>3301</v>
      </c>
    </row>
    <row r="91" spans="1:6" x14ac:dyDescent="0.3">
      <c r="A91" s="3" t="s">
        <v>2175</v>
      </c>
      <c r="B91" s="2" t="s">
        <v>3139</v>
      </c>
      <c r="C91" s="2" t="s">
        <v>272</v>
      </c>
      <c r="D91" s="2" t="s">
        <v>3107</v>
      </c>
      <c r="E91" s="2" t="s">
        <v>3302</v>
      </c>
      <c r="F91" s="4" t="s">
        <v>3303</v>
      </c>
    </row>
    <row r="92" spans="1:6" x14ac:dyDescent="0.3">
      <c r="A92" s="3" t="s">
        <v>2176</v>
      </c>
      <c r="B92" s="2" t="s">
        <v>3085</v>
      </c>
      <c r="C92" s="2" t="s">
        <v>274</v>
      </c>
      <c r="D92" s="2" t="s">
        <v>3087</v>
      </c>
      <c r="E92" s="2" t="s">
        <v>3304</v>
      </c>
      <c r="F92" s="4" t="s">
        <v>3305</v>
      </c>
    </row>
    <row r="93" spans="1:6" x14ac:dyDescent="0.3">
      <c r="A93" s="3" t="s">
        <v>2177</v>
      </c>
      <c r="B93" s="2" t="s">
        <v>3168</v>
      </c>
      <c r="C93" s="2" t="s">
        <v>276</v>
      </c>
      <c r="D93" s="2" t="s">
        <v>3169</v>
      </c>
      <c r="E93" s="2" t="s">
        <v>3306</v>
      </c>
      <c r="F93" s="4" t="s">
        <v>3307</v>
      </c>
    </row>
    <row r="94" spans="1:6" x14ac:dyDescent="0.3">
      <c r="A94" s="3" t="s">
        <v>2178</v>
      </c>
      <c r="B94" s="2" t="s">
        <v>3213</v>
      </c>
      <c r="C94" s="2" t="s">
        <v>278</v>
      </c>
      <c r="D94" s="2" t="s">
        <v>3214</v>
      </c>
      <c r="E94" s="2" t="s">
        <v>3308</v>
      </c>
      <c r="F94" s="4" t="s">
        <v>3309</v>
      </c>
    </row>
    <row r="95" spans="1:6" x14ac:dyDescent="0.3">
      <c r="A95" s="3" t="s">
        <v>2179</v>
      </c>
      <c r="B95" s="2" t="s">
        <v>3164</v>
      </c>
      <c r="C95" s="2" t="s">
        <v>280</v>
      </c>
      <c r="D95" s="2" t="s">
        <v>3165</v>
      </c>
      <c r="E95" s="2" t="s">
        <v>3310</v>
      </c>
      <c r="F95" s="4" t="s">
        <v>3311</v>
      </c>
    </row>
    <row r="96" spans="1:6" x14ac:dyDescent="0.3">
      <c r="A96" s="3" t="s">
        <v>2180</v>
      </c>
      <c r="B96" s="2" t="s">
        <v>3213</v>
      </c>
      <c r="C96" s="2" t="s">
        <v>282</v>
      </c>
      <c r="D96" s="2" t="s">
        <v>3214</v>
      </c>
      <c r="E96" s="2" t="s">
        <v>3312</v>
      </c>
      <c r="F96" s="4" t="s">
        <v>3313</v>
      </c>
    </row>
    <row r="97" spans="1:6" x14ac:dyDescent="0.3">
      <c r="A97" s="3" t="s">
        <v>2181</v>
      </c>
      <c r="B97" s="2" t="s">
        <v>3085</v>
      </c>
      <c r="C97" s="2" t="s">
        <v>284</v>
      </c>
      <c r="D97" s="2" t="s">
        <v>3087</v>
      </c>
      <c r="E97" s="2" t="s">
        <v>3314</v>
      </c>
      <c r="F97" s="4" t="s">
        <v>3315</v>
      </c>
    </row>
    <row r="98" spans="1:6" x14ac:dyDescent="0.3">
      <c r="A98" s="3" t="s">
        <v>2182</v>
      </c>
      <c r="B98" s="2" t="s">
        <v>3229</v>
      </c>
      <c r="C98" s="2" t="s">
        <v>286</v>
      </c>
      <c r="D98" s="2" t="s">
        <v>3230</v>
      </c>
      <c r="E98" s="2" t="s">
        <v>3316</v>
      </c>
      <c r="F98" s="4" t="s">
        <v>3317</v>
      </c>
    </row>
    <row r="99" spans="1:6" x14ac:dyDescent="0.3">
      <c r="A99" s="3" t="s">
        <v>2183</v>
      </c>
      <c r="B99" s="2" t="s">
        <v>3112</v>
      </c>
      <c r="C99" s="2" t="s">
        <v>288</v>
      </c>
      <c r="D99" s="2" t="s">
        <v>64</v>
      </c>
      <c r="E99" s="2" t="s">
        <v>3318</v>
      </c>
      <c r="F99" s="4" t="s">
        <v>3319</v>
      </c>
    </row>
    <row r="100" spans="1:6" x14ac:dyDescent="0.3">
      <c r="A100" s="3" t="s">
        <v>2184</v>
      </c>
      <c r="B100" s="2" t="s">
        <v>3112</v>
      </c>
      <c r="C100" s="2" t="s">
        <v>290</v>
      </c>
      <c r="D100" s="2" t="s">
        <v>64</v>
      </c>
      <c r="E100" s="2" t="s">
        <v>3320</v>
      </c>
      <c r="F100" s="4" t="s">
        <v>3321</v>
      </c>
    </row>
    <row r="101" spans="1:6" x14ac:dyDescent="0.3">
      <c r="A101" s="3" t="s">
        <v>2185</v>
      </c>
      <c r="B101" s="2" t="s">
        <v>3180</v>
      </c>
      <c r="C101" s="2" t="s">
        <v>292</v>
      </c>
      <c r="D101" s="2" t="s">
        <v>3181</v>
      </c>
      <c r="E101" s="2" t="s">
        <v>3322</v>
      </c>
      <c r="F101" s="4" t="s">
        <v>3323</v>
      </c>
    </row>
    <row r="102" spans="1:6" x14ac:dyDescent="0.3">
      <c r="A102" s="3" t="s">
        <v>2186</v>
      </c>
      <c r="B102" s="2" t="s">
        <v>3139</v>
      </c>
      <c r="C102" s="2" t="s">
        <v>294</v>
      </c>
      <c r="D102" s="2" t="s">
        <v>3107</v>
      </c>
      <c r="E102" s="2" t="s">
        <v>3324</v>
      </c>
      <c r="F102" s="4" t="s">
        <v>3325</v>
      </c>
    </row>
    <row r="103" spans="1:6" x14ac:dyDescent="0.3">
      <c r="A103" s="3" t="s">
        <v>2187</v>
      </c>
      <c r="B103" s="2" t="s">
        <v>3164</v>
      </c>
      <c r="C103" s="2" t="s">
        <v>296</v>
      </c>
      <c r="D103" s="2" t="s">
        <v>3165</v>
      </c>
      <c r="E103" s="2" t="s">
        <v>3326</v>
      </c>
      <c r="F103" s="4" t="s">
        <v>3089</v>
      </c>
    </row>
    <row r="104" spans="1:6" x14ac:dyDescent="0.3">
      <c r="A104" s="3" t="s">
        <v>2188</v>
      </c>
      <c r="B104" s="2" t="s">
        <v>3164</v>
      </c>
      <c r="C104" s="2" t="s">
        <v>298</v>
      </c>
      <c r="D104" s="2" t="s">
        <v>3165</v>
      </c>
      <c r="E104" s="2" t="s">
        <v>3327</v>
      </c>
      <c r="F104" s="4" t="s">
        <v>3096</v>
      </c>
    </row>
    <row r="105" spans="1:6" x14ac:dyDescent="0.3">
      <c r="A105" s="3" t="s">
        <v>2189</v>
      </c>
      <c r="B105" s="2" t="s">
        <v>3115</v>
      </c>
      <c r="C105" s="2" t="s">
        <v>300</v>
      </c>
      <c r="D105" s="2" t="s">
        <v>3116</v>
      </c>
      <c r="E105" s="2" t="s">
        <v>3328</v>
      </c>
      <c r="F105" s="4" t="s">
        <v>3098</v>
      </c>
    </row>
    <row r="106" spans="1:6" x14ac:dyDescent="0.3">
      <c r="A106" s="3" t="s">
        <v>2190</v>
      </c>
      <c r="B106" s="2" t="s">
        <v>3112</v>
      </c>
      <c r="C106" s="2" t="s">
        <v>302</v>
      </c>
      <c r="D106" s="2" t="s">
        <v>64</v>
      </c>
      <c r="E106" s="2" t="s">
        <v>3329</v>
      </c>
      <c r="F106" s="4" t="s">
        <v>3101</v>
      </c>
    </row>
    <row r="107" spans="1:6" x14ac:dyDescent="0.3">
      <c r="A107" s="3" t="s">
        <v>2191</v>
      </c>
      <c r="B107" s="2" t="s">
        <v>3176</v>
      </c>
      <c r="C107" s="2" t="s">
        <v>304</v>
      </c>
      <c r="D107" s="2" t="s">
        <v>3177</v>
      </c>
      <c r="E107" s="2" t="s">
        <v>3330</v>
      </c>
      <c r="F107" s="4" t="s">
        <v>3105</v>
      </c>
    </row>
    <row r="108" spans="1:6" x14ac:dyDescent="0.3">
      <c r="A108" s="3" t="s">
        <v>2192</v>
      </c>
      <c r="B108" s="2" t="s">
        <v>3164</v>
      </c>
      <c r="C108" s="2" t="s">
        <v>306</v>
      </c>
      <c r="D108" s="2" t="s">
        <v>3165</v>
      </c>
      <c r="E108" s="2" t="s">
        <v>3331</v>
      </c>
      <c r="F108" s="4" t="s">
        <v>3109</v>
      </c>
    </row>
    <row r="109" spans="1:6" x14ac:dyDescent="0.3">
      <c r="A109" s="3" t="s">
        <v>2193</v>
      </c>
      <c r="B109" s="2" t="s">
        <v>3106</v>
      </c>
      <c r="C109" s="2" t="s">
        <v>308</v>
      </c>
      <c r="D109" s="2" t="s">
        <v>3107</v>
      </c>
      <c r="E109" s="2" t="s">
        <v>3332</v>
      </c>
      <c r="F109" s="4" t="s">
        <v>3111</v>
      </c>
    </row>
    <row r="110" spans="1:6" x14ac:dyDescent="0.3">
      <c r="A110" s="3" t="s">
        <v>2194</v>
      </c>
      <c r="B110" s="2" t="s">
        <v>3112</v>
      </c>
      <c r="C110" s="2" t="s">
        <v>310</v>
      </c>
      <c r="D110" s="2" t="s">
        <v>64</v>
      </c>
      <c r="E110" s="2" t="s">
        <v>3333</v>
      </c>
      <c r="F110" s="4" t="s">
        <v>3114</v>
      </c>
    </row>
    <row r="111" spans="1:6" x14ac:dyDescent="0.3">
      <c r="A111" s="3" t="s">
        <v>2195</v>
      </c>
      <c r="B111" s="2" t="s">
        <v>3112</v>
      </c>
      <c r="C111" s="2" t="s">
        <v>312</v>
      </c>
      <c r="D111" s="2" t="s">
        <v>64</v>
      </c>
      <c r="E111" s="2" t="s">
        <v>3334</v>
      </c>
      <c r="F111" s="4" t="s">
        <v>3118</v>
      </c>
    </row>
    <row r="112" spans="1:6" x14ac:dyDescent="0.3">
      <c r="A112" s="3" t="s">
        <v>2196</v>
      </c>
      <c r="B112" s="2" t="s">
        <v>3122</v>
      </c>
      <c r="C112" s="2" t="s">
        <v>314</v>
      </c>
      <c r="D112" s="2" t="s">
        <v>3123</v>
      </c>
      <c r="E112" s="2" t="s">
        <v>3335</v>
      </c>
      <c r="F112" s="4" t="s">
        <v>3121</v>
      </c>
    </row>
    <row r="113" spans="1:6" x14ac:dyDescent="0.3">
      <c r="A113" s="3" t="s">
        <v>2197</v>
      </c>
      <c r="B113" s="2" t="s">
        <v>3112</v>
      </c>
      <c r="C113" s="2" t="s">
        <v>316</v>
      </c>
      <c r="D113" s="2" t="s">
        <v>64</v>
      </c>
      <c r="E113" s="2" t="s">
        <v>3336</v>
      </c>
      <c r="F113" s="4" t="s">
        <v>3125</v>
      </c>
    </row>
    <row r="114" spans="1:6" x14ac:dyDescent="0.3">
      <c r="A114" s="3" t="s">
        <v>2198</v>
      </c>
      <c r="B114" s="2" t="s">
        <v>3122</v>
      </c>
      <c r="C114" s="2" t="s">
        <v>318</v>
      </c>
      <c r="D114" s="2" t="s">
        <v>3123</v>
      </c>
      <c r="E114" s="2" t="s">
        <v>3337</v>
      </c>
      <c r="F114" s="4" t="s">
        <v>3127</v>
      </c>
    </row>
    <row r="115" spans="1:6" x14ac:dyDescent="0.3">
      <c r="A115" s="3" t="s">
        <v>2199</v>
      </c>
      <c r="B115" s="2" t="s">
        <v>3115</v>
      </c>
      <c r="C115" s="2" t="s">
        <v>320</v>
      </c>
      <c r="D115" s="2" t="s">
        <v>3116</v>
      </c>
      <c r="E115" s="2" t="s">
        <v>3338</v>
      </c>
      <c r="F115" s="4" t="s">
        <v>3130</v>
      </c>
    </row>
    <row r="116" spans="1:6" x14ac:dyDescent="0.3">
      <c r="A116" s="3" t="s">
        <v>2200</v>
      </c>
      <c r="B116" s="2" t="s">
        <v>3115</v>
      </c>
      <c r="C116" s="2" t="s">
        <v>322</v>
      </c>
      <c r="D116" s="2" t="s">
        <v>3116</v>
      </c>
      <c r="E116" s="2" t="s">
        <v>3339</v>
      </c>
      <c r="F116" s="4" t="s">
        <v>3132</v>
      </c>
    </row>
    <row r="117" spans="1:6" x14ac:dyDescent="0.3">
      <c r="A117" s="3" t="s">
        <v>2201</v>
      </c>
      <c r="B117" s="2" t="s">
        <v>3217</v>
      </c>
      <c r="C117" s="2" t="s">
        <v>325</v>
      </c>
      <c r="D117" s="2" t="s">
        <v>3218</v>
      </c>
      <c r="E117" s="2" t="s">
        <v>3340</v>
      </c>
      <c r="F117" s="4" t="s">
        <v>3136</v>
      </c>
    </row>
    <row r="118" spans="1:6" x14ac:dyDescent="0.3">
      <c r="A118" s="3" t="s">
        <v>2202</v>
      </c>
      <c r="B118" s="2" t="s">
        <v>3180</v>
      </c>
      <c r="C118" s="2" t="s">
        <v>327</v>
      </c>
      <c r="D118" s="2" t="s">
        <v>3181</v>
      </c>
      <c r="E118" s="2" t="s">
        <v>3341</v>
      </c>
      <c r="F118" s="4" t="s">
        <v>3138</v>
      </c>
    </row>
    <row r="119" spans="1:6" x14ac:dyDescent="0.3">
      <c r="A119" s="3" t="s">
        <v>2203</v>
      </c>
      <c r="B119" s="2" t="s">
        <v>3090</v>
      </c>
      <c r="C119" s="2" t="s">
        <v>329</v>
      </c>
      <c r="D119" s="2" t="s">
        <v>3091</v>
      </c>
      <c r="E119" s="2" t="s">
        <v>3342</v>
      </c>
      <c r="F119" s="4" t="s">
        <v>3141</v>
      </c>
    </row>
    <row r="120" spans="1:6" x14ac:dyDescent="0.3">
      <c r="A120" s="3" t="s">
        <v>2204</v>
      </c>
      <c r="B120" s="2" t="s">
        <v>3128</v>
      </c>
      <c r="C120" s="2" t="s">
        <v>331</v>
      </c>
      <c r="D120" s="2" t="s">
        <v>3128</v>
      </c>
      <c r="E120" s="2" t="s">
        <v>3343</v>
      </c>
      <c r="F120" s="4" t="s">
        <v>3143</v>
      </c>
    </row>
    <row r="121" spans="1:6" x14ac:dyDescent="0.3">
      <c r="A121" s="3" t="s">
        <v>2205</v>
      </c>
      <c r="B121" s="2" t="s">
        <v>3154</v>
      </c>
      <c r="C121" s="2" t="s">
        <v>333</v>
      </c>
      <c r="D121" s="2" t="s">
        <v>3155</v>
      </c>
      <c r="E121" s="2" t="s">
        <v>3344</v>
      </c>
      <c r="F121" s="4" t="s">
        <v>3145</v>
      </c>
    </row>
    <row r="122" spans="1:6" x14ac:dyDescent="0.3">
      <c r="A122" s="3" t="s">
        <v>2206</v>
      </c>
      <c r="B122" s="2" t="s">
        <v>3106</v>
      </c>
      <c r="C122" s="2" t="s">
        <v>3345</v>
      </c>
      <c r="D122" s="2" t="s">
        <v>3107</v>
      </c>
      <c r="E122" s="2" t="s">
        <v>3346</v>
      </c>
      <c r="F122" s="4" t="s">
        <v>3147</v>
      </c>
    </row>
    <row r="123" spans="1:6" x14ac:dyDescent="0.3">
      <c r="A123" s="3" t="s">
        <v>2207</v>
      </c>
      <c r="B123" s="2" t="s">
        <v>3085</v>
      </c>
      <c r="C123" s="2" t="s">
        <v>337</v>
      </c>
      <c r="D123" s="2" t="s">
        <v>3087</v>
      </c>
      <c r="E123" s="2" t="s">
        <v>3347</v>
      </c>
      <c r="F123" s="4" t="s">
        <v>3149</v>
      </c>
    </row>
    <row r="124" spans="1:6" x14ac:dyDescent="0.3">
      <c r="A124" s="3" t="s">
        <v>2208</v>
      </c>
      <c r="B124" s="2" t="s">
        <v>3168</v>
      </c>
      <c r="C124" s="2" t="s">
        <v>339</v>
      </c>
      <c r="D124" s="2" t="s">
        <v>3169</v>
      </c>
      <c r="E124" s="2" t="s">
        <v>3348</v>
      </c>
      <c r="F124" s="4" t="s">
        <v>3153</v>
      </c>
    </row>
    <row r="125" spans="1:6" x14ac:dyDescent="0.3">
      <c r="A125" s="3" t="s">
        <v>2209</v>
      </c>
      <c r="B125" s="2" t="s">
        <v>3213</v>
      </c>
      <c r="C125" s="2" t="s">
        <v>341</v>
      </c>
      <c r="D125" s="2" t="s">
        <v>3214</v>
      </c>
      <c r="E125" s="2" t="s">
        <v>3349</v>
      </c>
      <c r="F125" s="4" t="s">
        <v>3157</v>
      </c>
    </row>
    <row r="126" spans="1:6" x14ac:dyDescent="0.3">
      <c r="A126" s="3" t="s">
        <v>2210</v>
      </c>
      <c r="B126" s="2" t="s">
        <v>3090</v>
      </c>
      <c r="C126" s="2" t="s">
        <v>343</v>
      </c>
      <c r="D126" s="2" t="s">
        <v>3091</v>
      </c>
      <c r="E126" s="2" t="s">
        <v>3350</v>
      </c>
      <c r="F126" s="4" t="s">
        <v>3159</v>
      </c>
    </row>
    <row r="127" spans="1:6" x14ac:dyDescent="0.3">
      <c r="A127" s="3" t="s">
        <v>2211</v>
      </c>
      <c r="B127" s="2" t="s">
        <v>3154</v>
      </c>
      <c r="C127" s="2" t="s">
        <v>345</v>
      </c>
      <c r="D127" s="2" t="s">
        <v>3155</v>
      </c>
      <c r="E127" s="2" t="s">
        <v>3351</v>
      </c>
      <c r="F127" s="4" t="s">
        <v>3161</v>
      </c>
    </row>
    <row r="128" spans="1:6" x14ac:dyDescent="0.3">
      <c r="A128" s="3" t="s">
        <v>2212</v>
      </c>
      <c r="B128" s="2" t="s">
        <v>3150</v>
      </c>
      <c r="C128" s="2" t="s">
        <v>347</v>
      </c>
      <c r="D128" s="2" t="s">
        <v>3151</v>
      </c>
      <c r="E128" s="2" t="s">
        <v>3352</v>
      </c>
      <c r="F128" s="4" t="s">
        <v>3163</v>
      </c>
    </row>
    <row r="129" spans="1:6" x14ac:dyDescent="0.3">
      <c r="A129" s="3" t="s">
        <v>2213</v>
      </c>
      <c r="B129" s="2" t="s">
        <v>3180</v>
      </c>
      <c r="C129" s="2" t="s">
        <v>349</v>
      </c>
      <c r="D129" s="2" t="s">
        <v>3181</v>
      </c>
      <c r="E129" s="2" t="s">
        <v>3353</v>
      </c>
      <c r="F129" s="4" t="s">
        <v>3167</v>
      </c>
    </row>
    <row r="130" spans="1:6" x14ac:dyDescent="0.3">
      <c r="A130" s="3" t="s">
        <v>2214</v>
      </c>
      <c r="B130" s="2" t="s">
        <v>3213</v>
      </c>
      <c r="C130" s="2" t="s">
        <v>351</v>
      </c>
      <c r="D130" s="2" t="s">
        <v>3214</v>
      </c>
      <c r="E130" s="2" t="s">
        <v>3354</v>
      </c>
      <c r="F130" s="4" t="s">
        <v>3171</v>
      </c>
    </row>
    <row r="131" spans="1:6" x14ac:dyDescent="0.3">
      <c r="A131" s="3" t="s">
        <v>2215</v>
      </c>
      <c r="B131" s="2" t="s">
        <v>3176</v>
      </c>
      <c r="C131" s="2" t="s">
        <v>353</v>
      </c>
      <c r="D131" s="2" t="s">
        <v>3177</v>
      </c>
      <c r="E131" s="2" t="s">
        <v>3355</v>
      </c>
      <c r="F131" s="4" t="s">
        <v>3173</v>
      </c>
    </row>
    <row r="132" spans="1:6" x14ac:dyDescent="0.3">
      <c r="A132" s="3" t="s">
        <v>2216</v>
      </c>
      <c r="B132" s="2" t="s">
        <v>3119</v>
      </c>
      <c r="C132" s="2" t="s">
        <v>355</v>
      </c>
      <c r="D132" s="2" t="s">
        <v>75</v>
      </c>
      <c r="E132" s="2" t="s">
        <v>3356</v>
      </c>
      <c r="F132" s="4" t="s">
        <v>3175</v>
      </c>
    </row>
    <row r="133" spans="1:6" x14ac:dyDescent="0.3">
      <c r="A133" s="3" t="s">
        <v>2217</v>
      </c>
      <c r="B133" s="2" t="s">
        <v>3176</v>
      </c>
      <c r="C133" s="2" t="s">
        <v>357</v>
      </c>
      <c r="D133" s="2" t="s">
        <v>3177</v>
      </c>
      <c r="E133" s="2" t="s">
        <v>3357</v>
      </c>
      <c r="F133" s="4" t="s">
        <v>3179</v>
      </c>
    </row>
    <row r="134" spans="1:6" x14ac:dyDescent="0.3">
      <c r="A134" s="3" t="s">
        <v>2218</v>
      </c>
      <c r="B134" s="2" t="s">
        <v>3139</v>
      </c>
      <c r="C134" s="2" t="s">
        <v>359</v>
      </c>
      <c r="D134" s="2" t="s">
        <v>3107</v>
      </c>
      <c r="E134" s="2" t="s">
        <v>3348</v>
      </c>
      <c r="F134" s="4" t="s">
        <v>3183</v>
      </c>
    </row>
    <row r="135" spans="1:6" x14ac:dyDescent="0.3">
      <c r="A135" s="3" t="s">
        <v>2219</v>
      </c>
      <c r="B135" s="2" t="s">
        <v>3150</v>
      </c>
      <c r="C135" s="2" t="s">
        <v>361</v>
      </c>
      <c r="D135" s="2" t="s">
        <v>3151</v>
      </c>
      <c r="E135" s="2" t="s">
        <v>3358</v>
      </c>
      <c r="F135" s="4" t="s">
        <v>3185</v>
      </c>
    </row>
    <row r="136" spans="1:6" x14ac:dyDescent="0.3">
      <c r="A136" s="3" t="s">
        <v>2220</v>
      </c>
      <c r="B136" s="2" t="s">
        <v>3106</v>
      </c>
      <c r="C136" s="2" t="s">
        <v>363</v>
      </c>
      <c r="D136" s="2" t="s">
        <v>3107</v>
      </c>
      <c r="E136" s="2" t="s">
        <v>3359</v>
      </c>
      <c r="F136" s="4" t="s">
        <v>3187</v>
      </c>
    </row>
    <row r="137" spans="1:6" x14ac:dyDescent="0.3">
      <c r="A137" s="3" t="s">
        <v>2221</v>
      </c>
      <c r="B137" s="2" t="s">
        <v>3194</v>
      </c>
      <c r="C137" s="2" t="s">
        <v>365</v>
      </c>
      <c r="D137" s="2" t="s">
        <v>3155</v>
      </c>
      <c r="E137" s="2" t="s">
        <v>3360</v>
      </c>
      <c r="F137" s="4" t="s">
        <v>3189</v>
      </c>
    </row>
    <row r="138" spans="1:6" x14ac:dyDescent="0.3">
      <c r="A138" s="3" t="s">
        <v>2222</v>
      </c>
      <c r="B138" s="2" t="s">
        <v>3119</v>
      </c>
      <c r="C138" s="2" t="s">
        <v>367</v>
      </c>
      <c r="D138" s="2" t="s">
        <v>75</v>
      </c>
      <c r="E138" s="2" t="s">
        <v>3361</v>
      </c>
      <c r="F138" s="4" t="s">
        <v>3191</v>
      </c>
    </row>
    <row r="139" spans="1:6" x14ac:dyDescent="0.3">
      <c r="A139" s="3" t="s">
        <v>2223</v>
      </c>
      <c r="B139" s="2" t="s">
        <v>3176</v>
      </c>
      <c r="C139" s="2" t="s">
        <v>369</v>
      </c>
      <c r="D139" s="2" t="s">
        <v>3177</v>
      </c>
      <c r="E139" s="2" t="s">
        <v>3362</v>
      </c>
      <c r="F139" s="4" t="s">
        <v>3193</v>
      </c>
    </row>
    <row r="140" spans="1:6" x14ac:dyDescent="0.3">
      <c r="A140" s="3" t="s">
        <v>2224</v>
      </c>
      <c r="B140" s="2" t="s">
        <v>3217</v>
      </c>
      <c r="C140" s="2" t="s">
        <v>371</v>
      </c>
      <c r="D140" s="2" t="s">
        <v>3218</v>
      </c>
      <c r="E140" s="2" t="s">
        <v>3363</v>
      </c>
      <c r="F140" s="4" t="s">
        <v>3196</v>
      </c>
    </row>
    <row r="141" spans="1:6" x14ac:dyDescent="0.3">
      <c r="A141" s="3" t="s">
        <v>2225</v>
      </c>
      <c r="B141" s="2" t="s">
        <v>3093</v>
      </c>
      <c r="C141" s="2" t="s">
        <v>373</v>
      </c>
      <c r="D141" s="2" t="s">
        <v>3094</v>
      </c>
      <c r="E141" s="2" t="s">
        <v>3364</v>
      </c>
      <c r="F141" s="4" t="s">
        <v>3198</v>
      </c>
    </row>
    <row r="142" spans="1:6" x14ac:dyDescent="0.3">
      <c r="A142" s="3" t="s">
        <v>2226</v>
      </c>
      <c r="B142" s="2" t="s">
        <v>3176</v>
      </c>
      <c r="C142" s="2" t="s">
        <v>375</v>
      </c>
      <c r="D142" s="2" t="s">
        <v>3177</v>
      </c>
      <c r="E142" s="2" t="s">
        <v>3365</v>
      </c>
      <c r="F142" s="4" t="s">
        <v>3200</v>
      </c>
    </row>
    <row r="143" spans="1:6" x14ac:dyDescent="0.3">
      <c r="A143" s="3" t="s">
        <v>2227</v>
      </c>
      <c r="B143" s="2" t="s">
        <v>3139</v>
      </c>
      <c r="C143" s="2" t="s">
        <v>377</v>
      </c>
      <c r="D143" s="2" t="s">
        <v>3107</v>
      </c>
      <c r="E143" s="2" t="s">
        <v>3366</v>
      </c>
      <c r="F143" s="4" t="s">
        <v>3202</v>
      </c>
    </row>
    <row r="144" spans="1:6" x14ac:dyDescent="0.3">
      <c r="A144" s="3" t="s">
        <v>2228</v>
      </c>
      <c r="B144" s="2" t="s">
        <v>3119</v>
      </c>
      <c r="C144" s="2" t="s">
        <v>379</v>
      </c>
      <c r="D144" s="2" t="s">
        <v>75</v>
      </c>
      <c r="E144" s="2" t="s">
        <v>3367</v>
      </c>
      <c r="F144" s="4" t="s">
        <v>3204</v>
      </c>
    </row>
    <row r="145" spans="1:6" x14ac:dyDescent="0.3">
      <c r="A145" s="3" t="s">
        <v>2229</v>
      </c>
      <c r="B145" s="2" t="s">
        <v>3119</v>
      </c>
      <c r="C145" s="2" t="s">
        <v>381</v>
      </c>
      <c r="D145" s="2" t="s">
        <v>75</v>
      </c>
      <c r="E145" s="2" t="s">
        <v>3368</v>
      </c>
      <c r="F145" s="4" t="s">
        <v>3206</v>
      </c>
    </row>
    <row r="146" spans="1:6" x14ac:dyDescent="0.3">
      <c r="A146" s="3" t="s">
        <v>2230</v>
      </c>
      <c r="B146" s="2" t="s">
        <v>3176</v>
      </c>
      <c r="C146" s="2" t="s">
        <v>383</v>
      </c>
      <c r="D146" s="2" t="s">
        <v>3177</v>
      </c>
      <c r="E146" s="2" t="s">
        <v>3369</v>
      </c>
      <c r="F146" s="4" t="s">
        <v>3208</v>
      </c>
    </row>
    <row r="147" spans="1:6" x14ac:dyDescent="0.3">
      <c r="A147" s="3" t="s">
        <v>2231</v>
      </c>
      <c r="B147" s="2" t="s">
        <v>3093</v>
      </c>
      <c r="C147" s="2" t="s">
        <v>385</v>
      </c>
      <c r="D147" s="2" t="s">
        <v>3094</v>
      </c>
      <c r="E147" s="2" t="s">
        <v>3370</v>
      </c>
      <c r="F147" s="4" t="s">
        <v>3210</v>
      </c>
    </row>
    <row r="148" spans="1:6" x14ac:dyDescent="0.3">
      <c r="A148" s="3" t="s">
        <v>2232</v>
      </c>
      <c r="B148" s="2" t="s">
        <v>3180</v>
      </c>
      <c r="C148" s="2" t="s">
        <v>387</v>
      </c>
      <c r="D148" s="2" t="s">
        <v>3181</v>
      </c>
      <c r="E148" s="2" t="s">
        <v>3371</v>
      </c>
      <c r="F148" s="4" t="s">
        <v>3212</v>
      </c>
    </row>
    <row r="149" spans="1:6" x14ac:dyDescent="0.3">
      <c r="A149" s="3" t="s">
        <v>2233</v>
      </c>
      <c r="B149" s="2" t="s">
        <v>3093</v>
      </c>
      <c r="C149" s="2" t="s">
        <v>389</v>
      </c>
      <c r="D149" s="2" t="s">
        <v>3094</v>
      </c>
      <c r="E149" s="2" t="s">
        <v>3372</v>
      </c>
      <c r="F149" s="4" t="s">
        <v>3216</v>
      </c>
    </row>
    <row r="150" spans="1:6" x14ac:dyDescent="0.3">
      <c r="A150" s="3" t="s">
        <v>2234</v>
      </c>
      <c r="B150" s="2" t="s">
        <v>3217</v>
      </c>
      <c r="C150" s="2" t="s">
        <v>391</v>
      </c>
      <c r="D150" s="2" t="s">
        <v>3218</v>
      </c>
      <c r="E150" s="2" t="s">
        <v>3373</v>
      </c>
      <c r="F150" s="4" t="s">
        <v>3220</v>
      </c>
    </row>
    <row r="151" spans="1:6" x14ac:dyDescent="0.3">
      <c r="A151" s="3" t="s">
        <v>2235</v>
      </c>
      <c r="B151" s="2" t="s">
        <v>3164</v>
      </c>
      <c r="C151" s="2" t="s">
        <v>393</v>
      </c>
      <c r="D151" s="2" t="s">
        <v>3165</v>
      </c>
      <c r="E151" s="2" t="s">
        <v>3374</v>
      </c>
      <c r="F151" s="4" t="s">
        <v>3222</v>
      </c>
    </row>
    <row r="152" spans="1:6" x14ac:dyDescent="0.3">
      <c r="A152" s="3" t="s">
        <v>2236</v>
      </c>
      <c r="B152" s="2" t="s">
        <v>3115</v>
      </c>
      <c r="C152" s="2" t="s">
        <v>395</v>
      </c>
      <c r="D152" s="2" t="s">
        <v>3116</v>
      </c>
      <c r="E152" s="2" t="s">
        <v>3375</v>
      </c>
      <c r="F152" s="4" t="s">
        <v>3224</v>
      </c>
    </row>
    <row r="153" spans="1:6" x14ac:dyDescent="0.3">
      <c r="A153" s="3" t="s">
        <v>2237</v>
      </c>
      <c r="B153" s="2" t="s">
        <v>3229</v>
      </c>
      <c r="C153" s="2" t="s">
        <v>397</v>
      </c>
      <c r="D153" s="2" t="s">
        <v>3230</v>
      </c>
      <c r="E153" s="2" t="s">
        <v>3376</v>
      </c>
      <c r="F153" s="4" t="s">
        <v>3226</v>
      </c>
    </row>
    <row r="154" spans="1:6" x14ac:dyDescent="0.3">
      <c r="A154" s="3" t="s">
        <v>2238</v>
      </c>
      <c r="B154" s="2" t="s">
        <v>3122</v>
      </c>
      <c r="C154" s="2" t="s">
        <v>399</v>
      </c>
      <c r="D154" s="2" t="s">
        <v>3123</v>
      </c>
      <c r="E154" s="2" t="s">
        <v>3377</v>
      </c>
      <c r="F154" s="4" t="s">
        <v>3228</v>
      </c>
    </row>
    <row r="155" spans="1:6" x14ac:dyDescent="0.3">
      <c r="A155" s="3" t="s">
        <v>2239</v>
      </c>
      <c r="B155" s="2" t="s">
        <v>3133</v>
      </c>
      <c r="C155" s="2" t="s">
        <v>401</v>
      </c>
      <c r="D155" s="2" t="s">
        <v>3134</v>
      </c>
      <c r="E155" s="2" t="s">
        <v>3378</v>
      </c>
      <c r="F155" s="4" t="s">
        <v>3232</v>
      </c>
    </row>
    <row r="156" spans="1:6" x14ac:dyDescent="0.3">
      <c r="A156" s="3" t="s">
        <v>2240</v>
      </c>
      <c r="B156" s="2" t="s">
        <v>3154</v>
      </c>
      <c r="C156" s="2" t="s">
        <v>403</v>
      </c>
      <c r="D156" s="2" t="s">
        <v>3155</v>
      </c>
      <c r="E156" s="2" t="s">
        <v>3379</v>
      </c>
      <c r="F156" s="4" t="s">
        <v>3233</v>
      </c>
    </row>
    <row r="157" spans="1:6" x14ac:dyDescent="0.3">
      <c r="A157" s="3" t="s">
        <v>2241</v>
      </c>
      <c r="B157" s="2" t="s">
        <v>3150</v>
      </c>
      <c r="C157" s="2" t="s">
        <v>405</v>
      </c>
      <c r="D157" s="2" t="s">
        <v>3151</v>
      </c>
      <c r="E157" s="2" t="s">
        <v>3380</v>
      </c>
      <c r="F157" s="4" t="s">
        <v>3235</v>
      </c>
    </row>
    <row r="158" spans="1:6" x14ac:dyDescent="0.3">
      <c r="A158" s="3" t="s">
        <v>2242</v>
      </c>
      <c r="B158" s="2" t="s">
        <v>3085</v>
      </c>
      <c r="C158" s="2" t="s">
        <v>407</v>
      </c>
      <c r="D158" s="2" t="s">
        <v>3087</v>
      </c>
      <c r="E158" s="2" t="s">
        <v>3381</v>
      </c>
      <c r="F158" s="4" t="s">
        <v>3237</v>
      </c>
    </row>
    <row r="159" spans="1:6" x14ac:dyDescent="0.3">
      <c r="A159" s="3" t="s">
        <v>2243</v>
      </c>
      <c r="B159" s="2" t="s">
        <v>3194</v>
      </c>
      <c r="C159" s="2" t="s">
        <v>409</v>
      </c>
      <c r="D159" s="2" t="s">
        <v>3155</v>
      </c>
      <c r="E159" s="2" t="s">
        <v>3382</v>
      </c>
      <c r="F159" s="4" t="s">
        <v>3239</v>
      </c>
    </row>
    <row r="160" spans="1:6" x14ac:dyDescent="0.3">
      <c r="A160" s="3" t="s">
        <v>2244</v>
      </c>
      <c r="B160" s="2" t="s">
        <v>3164</v>
      </c>
      <c r="C160" s="2" t="s">
        <v>411</v>
      </c>
      <c r="D160" s="2" t="s">
        <v>3165</v>
      </c>
      <c r="E160" s="2" t="s">
        <v>3383</v>
      </c>
      <c r="F160" s="4" t="s">
        <v>3241</v>
      </c>
    </row>
    <row r="161" spans="1:6" x14ac:dyDescent="0.3">
      <c r="A161" s="3" t="s">
        <v>2245</v>
      </c>
      <c r="B161" s="2" t="s">
        <v>3229</v>
      </c>
      <c r="C161" s="2" t="s">
        <v>413</v>
      </c>
      <c r="D161" s="2" t="s">
        <v>3230</v>
      </c>
      <c r="E161" s="2" t="s">
        <v>3384</v>
      </c>
      <c r="F161" s="4" t="s">
        <v>3243</v>
      </c>
    </row>
    <row r="162" spans="1:6" x14ac:dyDescent="0.3">
      <c r="A162" s="3" t="s">
        <v>2246</v>
      </c>
      <c r="B162" s="2" t="s">
        <v>3106</v>
      </c>
      <c r="C162" s="2" t="s">
        <v>415</v>
      </c>
      <c r="D162" s="2" t="s">
        <v>3107</v>
      </c>
      <c r="E162" s="2" t="s">
        <v>3385</v>
      </c>
      <c r="F162" s="4" t="s">
        <v>3245</v>
      </c>
    </row>
    <row r="163" spans="1:6" x14ac:dyDescent="0.3">
      <c r="A163" s="3" t="s">
        <v>2247</v>
      </c>
      <c r="B163" s="2" t="s">
        <v>3122</v>
      </c>
      <c r="C163" s="2" t="s">
        <v>417</v>
      </c>
      <c r="D163" s="2" t="s">
        <v>3123</v>
      </c>
      <c r="E163" s="2" t="s">
        <v>3386</v>
      </c>
      <c r="F163" s="4" t="s">
        <v>3247</v>
      </c>
    </row>
    <row r="164" spans="1:6" x14ac:dyDescent="0.3">
      <c r="A164" s="3" t="s">
        <v>2248</v>
      </c>
      <c r="B164" s="2" t="s">
        <v>3106</v>
      </c>
      <c r="C164" s="2" t="s">
        <v>419</v>
      </c>
      <c r="D164" s="2" t="s">
        <v>3107</v>
      </c>
      <c r="E164" s="2" t="s">
        <v>3387</v>
      </c>
      <c r="F164" s="4" t="s">
        <v>3249</v>
      </c>
    </row>
    <row r="165" spans="1:6" x14ac:dyDescent="0.3">
      <c r="A165" s="3" t="s">
        <v>2249</v>
      </c>
      <c r="B165" s="2" t="s">
        <v>3119</v>
      </c>
      <c r="C165" s="2" t="s">
        <v>421</v>
      </c>
      <c r="D165" s="2" t="s">
        <v>75</v>
      </c>
      <c r="E165" s="2" t="s">
        <v>3388</v>
      </c>
      <c r="F165" s="4" t="s">
        <v>3251</v>
      </c>
    </row>
    <row r="166" spans="1:6" x14ac:dyDescent="0.3">
      <c r="A166" s="3" t="s">
        <v>2250</v>
      </c>
      <c r="B166" s="2" t="s">
        <v>3133</v>
      </c>
      <c r="C166" s="2" t="s">
        <v>423</v>
      </c>
      <c r="D166" s="2" t="s">
        <v>3134</v>
      </c>
      <c r="E166" s="2" t="s">
        <v>3389</v>
      </c>
      <c r="F166" s="4" t="s">
        <v>3253</v>
      </c>
    </row>
    <row r="167" spans="1:6" x14ac:dyDescent="0.3">
      <c r="A167" s="3" t="s">
        <v>2251</v>
      </c>
      <c r="B167" s="2" t="s">
        <v>3194</v>
      </c>
      <c r="C167" s="2" t="s">
        <v>425</v>
      </c>
      <c r="D167" s="2" t="s">
        <v>3155</v>
      </c>
      <c r="E167" s="2" t="s">
        <v>3390</v>
      </c>
      <c r="F167" s="4" t="s">
        <v>3255</v>
      </c>
    </row>
    <row r="168" spans="1:6" x14ac:dyDescent="0.3">
      <c r="A168" s="3" t="s">
        <v>2252</v>
      </c>
      <c r="B168" s="2" t="s">
        <v>3154</v>
      </c>
      <c r="C168" s="2" t="s">
        <v>427</v>
      </c>
      <c r="D168" s="2" t="s">
        <v>3155</v>
      </c>
      <c r="E168" s="2" t="s">
        <v>3172</v>
      </c>
      <c r="F168" s="4" t="s">
        <v>3257</v>
      </c>
    </row>
    <row r="169" spans="1:6" x14ac:dyDescent="0.3">
      <c r="A169" s="3" t="s">
        <v>2253</v>
      </c>
      <c r="B169" s="2" t="s">
        <v>3168</v>
      </c>
      <c r="C169" s="2" t="s">
        <v>429</v>
      </c>
      <c r="D169" s="2" t="s">
        <v>3169</v>
      </c>
      <c r="E169" s="2" t="s">
        <v>3391</v>
      </c>
      <c r="F169" s="4" t="s">
        <v>3259</v>
      </c>
    </row>
    <row r="170" spans="1:6" x14ac:dyDescent="0.3">
      <c r="A170" s="3" t="s">
        <v>2254</v>
      </c>
      <c r="B170" s="2" t="s">
        <v>3122</v>
      </c>
      <c r="C170" s="2" t="s">
        <v>431</v>
      </c>
      <c r="D170" s="2" t="s">
        <v>3123</v>
      </c>
      <c r="E170" s="2" t="s">
        <v>3392</v>
      </c>
      <c r="F170" s="4" t="s">
        <v>3261</v>
      </c>
    </row>
    <row r="171" spans="1:6" x14ac:dyDescent="0.3">
      <c r="A171" s="3" t="s">
        <v>2255</v>
      </c>
      <c r="B171" s="2" t="s">
        <v>3176</v>
      </c>
      <c r="C171" s="2" t="s">
        <v>433</v>
      </c>
      <c r="D171" s="2" t="s">
        <v>3177</v>
      </c>
      <c r="E171" s="2" t="s">
        <v>3393</v>
      </c>
      <c r="F171" s="4" t="s">
        <v>3263</v>
      </c>
    </row>
    <row r="172" spans="1:6" x14ac:dyDescent="0.3">
      <c r="A172" s="3" t="s">
        <v>2256</v>
      </c>
      <c r="B172" s="2" t="s">
        <v>3102</v>
      </c>
      <c r="C172" s="2" t="s">
        <v>435</v>
      </c>
      <c r="D172" s="2" t="s">
        <v>3103</v>
      </c>
      <c r="E172" s="2" t="s">
        <v>3394</v>
      </c>
      <c r="F172" s="4" t="s">
        <v>3265</v>
      </c>
    </row>
    <row r="173" spans="1:6" x14ac:dyDescent="0.3">
      <c r="A173" s="3" t="s">
        <v>2257</v>
      </c>
      <c r="B173" s="2" t="s">
        <v>3133</v>
      </c>
      <c r="C173" s="2" t="s">
        <v>437</v>
      </c>
      <c r="D173" s="2" t="s">
        <v>3134</v>
      </c>
      <c r="E173" s="2" t="s">
        <v>3395</v>
      </c>
      <c r="F173" s="4" t="s">
        <v>3267</v>
      </c>
    </row>
    <row r="174" spans="1:6" x14ac:dyDescent="0.3">
      <c r="A174" s="3" t="s">
        <v>2258</v>
      </c>
      <c r="B174" s="2" t="s">
        <v>3102</v>
      </c>
      <c r="C174" s="2" t="s">
        <v>439</v>
      </c>
      <c r="D174" s="2" t="s">
        <v>3103</v>
      </c>
      <c r="E174" s="2" t="s">
        <v>3396</v>
      </c>
      <c r="F174" s="4" t="s">
        <v>3269</v>
      </c>
    </row>
    <row r="175" spans="1:6" x14ac:dyDescent="0.3">
      <c r="A175" s="3" t="s">
        <v>2259</v>
      </c>
      <c r="B175" s="2" t="s">
        <v>3119</v>
      </c>
      <c r="C175" s="2" t="s">
        <v>441</v>
      </c>
      <c r="D175" s="2" t="s">
        <v>75</v>
      </c>
      <c r="E175" s="2" t="s">
        <v>3397</v>
      </c>
      <c r="F175" s="4" t="s">
        <v>3271</v>
      </c>
    </row>
    <row r="176" spans="1:6" x14ac:dyDescent="0.3">
      <c r="A176" s="3" t="s">
        <v>2260</v>
      </c>
      <c r="B176" s="2" t="s">
        <v>3150</v>
      </c>
      <c r="C176" s="2" t="s">
        <v>443</v>
      </c>
      <c r="D176" s="2" t="s">
        <v>3151</v>
      </c>
      <c r="E176" s="2" t="s">
        <v>3398</v>
      </c>
      <c r="F176" s="4" t="s">
        <v>3273</v>
      </c>
    </row>
    <row r="177" spans="1:6" x14ac:dyDescent="0.3">
      <c r="A177" s="3" t="s">
        <v>2261</v>
      </c>
      <c r="B177" s="2" t="s">
        <v>3090</v>
      </c>
      <c r="C177" s="2" t="s">
        <v>445</v>
      </c>
      <c r="D177" s="2" t="s">
        <v>3091</v>
      </c>
      <c r="E177" s="2" t="s">
        <v>3399</v>
      </c>
      <c r="F177" s="4" t="s">
        <v>3275</v>
      </c>
    </row>
    <row r="178" spans="1:6" x14ac:dyDescent="0.3">
      <c r="A178" s="3" t="s">
        <v>2262</v>
      </c>
      <c r="B178" s="2" t="s">
        <v>3139</v>
      </c>
      <c r="C178" s="2" t="s">
        <v>447</v>
      </c>
      <c r="D178" s="2" t="s">
        <v>3107</v>
      </c>
      <c r="E178" s="2" t="s">
        <v>3400</v>
      </c>
      <c r="F178" s="4" t="s">
        <v>3277</v>
      </c>
    </row>
    <row r="179" spans="1:6" x14ac:dyDescent="0.3">
      <c r="A179" s="3" t="s">
        <v>2263</v>
      </c>
      <c r="B179" s="2" t="s">
        <v>3194</v>
      </c>
      <c r="C179" s="2" t="s">
        <v>449</v>
      </c>
      <c r="D179" s="2" t="s">
        <v>3155</v>
      </c>
      <c r="E179" s="2" t="s">
        <v>3401</v>
      </c>
      <c r="F179" s="4" t="s">
        <v>3279</v>
      </c>
    </row>
    <row r="180" spans="1:6" x14ac:dyDescent="0.3">
      <c r="A180" s="3" t="s">
        <v>2264</v>
      </c>
      <c r="B180" s="2" t="s">
        <v>3176</v>
      </c>
      <c r="C180" s="2" t="s">
        <v>451</v>
      </c>
      <c r="D180" s="2" t="s">
        <v>3177</v>
      </c>
      <c r="E180" s="2" t="s">
        <v>3402</v>
      </c>
      <c r="F180" s="4" t="s">
        <v>3281</v>
      </c>
    </row>
    <row r="181" spans="1:6" x14ac:dyDescent="0.3">
      <c r="A181" s="3" t="s">
        <v>2265</v>
      </c>
      <c r="B181" s="2" t="s">
        <v>3115</v>
      </c>
      <c r="C181" s="2" t="s">
        <v>453</v>
      </c>
      <c r="D181" s="2" t="s">
        <v>3116</v>
      </c>
      <c r="E181" s="2" t="s">
        <v>3403</v>
      </c>
      <c r="F181" s="4" t="s">
        <v>3283</v>
      </c>
    </row>
    <row r="182" spans="1:6" x14ac:dyDescent="0.3">
      <c r="A182" s="3" t="s">
        <v>2266</v>
      </c>
      <c r="B182" s="2" t="s">
        <v>3122</v>
      </c>
      <c r="C182" s="2" t="s">
        <v>455</v>
      </c>
      <c r="D182" s="2" t="s">
        <v>3123</v>
      </c>
      <c r="E182" s="2" t="s">
        <v>3404</v>
      </c>
      <c r="F182" s="4" t="s">
        <v>3285</v>
      </c>
    </row>
    <row r="183" spans="1:6" x14ac:dyDescent="0.3">
      <c r="A183" s="3" t="s">
        <v>2267</v>
      </c>
      <c r="B183" s="2" t="s">
        <v>3217</v>
      </c>
      <c r="C183" s="2" t="s">
        <v>457</v>
      </c>
      <c r="D183" s="2" t="s">
        <v>3218</v>
      </c>
      <c r="E183" s="2" t="s">
        <v>3405</v>
      </c>
      <c r="F183" s="4" t="s">
        <v>3287</v>
      </c>
    </row>
    <row r="184" spans="1:6" x14ac:dyDescent="0.3">
      <c r="A184" s="3" t="s">
        <v>2268</v>
      </c>
      <c r="B184" s="2" t="s">
        <v>3133</v>
      </c>
      <c r="C184" s="2" t="s">
        <v>459</v>
      </c>
      <c r="D184" s="2" t="s">
        <v>3134</v>
      </c>
      <c r="E184" s="2" t="s">
        <v>3406</v>
      </c>
      <c r="F184" s="4" t="s">
        <v>3289</v>
      </c>
    </row>
    <row r="185" spans="1:6" x14ac:dyDescent="0.3">
      <c r="A185" s="3" t="s">
        <v>2269</v>
      </c>
      <c r="B185" s="2" t="s">
        <v>3093</v>
      </c>
      <c r="C185" s="2" t="s">
        <v>461</v>
      </c>
      <c r="D185" s="2" t="s">
        <v>3094</v>
      </c>
      <c r="E185" s="2" t="s">
        <v>3407</v>
      </c>
      <c r="F185" s="4" t="s">
        <v>3291</v>
      </c>
    </row>
    <row r="186" spans="1:6" x14ac:dyDescent="0.3">
      <c r="A186" s="3" t="s">
        <v>2270</v>
      </c>
      <c r="B186" s="2" t="s">
        <v>3090</v>
      </c>
      <c r="C186" s="2" t="s">
        <v>463</v>
      </c>
      <c r="D186" s="2" t="s">
        <v>3091</v>
      </c>
      <c r="E186" s="2" t="s">
        <v>3333</v>
      </c>
      <c r="F186" s="4" t="s">
        <v>3293</v>
      </c>
    </row>
    <row r="187" spans="1:6" x14ac:dyDescent="0.3">
      <c r="A187" s="3" t="s">
        <v>2271</v>
      </c>
      <c r="B187" s="2" t="s">
        <v>3229</v>
      </c>
      <c r="C187" s="2" t="s">
        <v>465</v>
      </c>
      <c r="D187" s="2" t="s">
        <v>3230</v>
      </c>
      <c r="E187" s="2" t="s">
        <v>3408</v>
      </c>
      <c r="F187" s="4" t="s">
        <v>3295</v>
      </c>
    </row>
    <row r="188" spans="1:6" x14ac:dyDescent="0.3">
      <c r="A188" s="3" t="s">
        <v>2272</v>
      </c>
      <c r="B188" s="2" t="s">
        <v>3115</v>
      </c>
      <c r="C188" s="2" t="s">
        <v>467</v>
      </c>
      <c r="D188" s="2" t="s">
        <v>3116</v>
      </c>
      <c r="E188" s="2" t="s">
        <v>3409</v>
      </c>
      <c r="F188" s="4" t="s">
        <v>3297</v>
      </c>
    </row>
    <row r="189" spans="1:6" x14ac:dyDescent="0.3">
      <c r="A189" s="3" t="s">
        <v>2273</v>
      </c>
      <c r="B189" s="2" t="s">
        <v>3217</v>
      </c>
      <c r="C189" s="2" t="s">
        <v>469</v>
      </c>
      <c r="D189" s="2" t="s">
        <v>3218</v>
      </c>
      <c r="E189" s="2" t="s">
        <v>3410</v>
      </c>
      <c r="F189" s="4" t="s">
        <v>3299</v>
      </c>
    </row>
    <row r="190" spans="1:6" x14ac:dyDescent="0.3">
      <c r="A190" s="3" t="s">
        <v>2274</v>
      </c>
      <c r="B190" s="2" t="s">
        <v>3150</v>
      </c>
      <c r="C190" s="2" t="s">
        <v>471</v>
      </c>
      <c r="D190" s="2" t="s">
        <v>3151</v>
      </c>
      <c r="E190" s="2" t="s">
        <v>3411</v>
      </c>
      <c r="F190" s="4" t="s">
        <v>3301</v>
      </c>
    </row>
    <row r="191" spans="1:6" x14ac:dyDescent="0.3">
      <c r="A191" s="3" t="s">
        <v>2275</v>
      </c>
      <c r="B191" s="2" t="s">
        <v>3217</v>
      </c>
      <c r="C191" s="2" t="s">
        <v>473</v>
      </c>
      <c r="D191" s="2" t="s">
        <v>3218</v>
      </c>
      <c r="E191" s="2" t="s">
        <v>3412</v>
      </c>
      <c r="F191" s="4" t="s">
        <v>3303</v>
      </c>
    </row>
    <row r="192" spans="1:6" x14ac:dyDescent="0.3">
      <c r="A192" s="3" t="s">
        <v>2276</v>
      </c>
      <c r="B192" s="2" t="s">
        <v>3154</v>
      </c>
      <c r="C192" s="2" t="s">
        <v>475</v>
      </c>
      <c r="D192" s="2" t="s">
        <v>3155</v>
      </c>
      <c r="E192" s="2" t="s">
        <v>3413</v>
      </c>
      <c r="F192" s="4" t="s">
        <v>3305</v>
      </c>
    </row>
    <row r="193" spans="1:6" x14ac:dyDescent="0.3">
      <c r="A193" s="3" t="s">
        <v>2277</v>
      </c>
      <c r="B193" s="2" t="s">
        <v>3090</v>
      </c>
      <c r="C193" s="2" t="s">
        <v>477</v>
      </c>
      <c r="D193" s="2" t="s">
        <v>3091</v>
      </c>
      <c r="E193" s="2" t="s">
        <v>3414</v>
      </c>
      <c r="F193" s="4" t="s">
        <v>3307</v>
      </c>
    </row>
    <row r="194" spans="1:6" x14ac:dyDescent="0.3">
      <c r="A194" s="3" t="s">
        <v>2175</v>
      </c>
      <c r="B194" s="2" t="s">
        <v>3085</v>
      </c>
      <c r="C194" s="2" t="s">
        <v>272</v>
      </c>
      <c r="D194" s="2" t="s">
        <v>3087</v>
      </c>
      <c r="E194" s="2" t="s">
        <v>3302</v>
      </c>
      <c r="F194" s="4" t="s">
        <v>3309</v>
      </c>
    </row>
    <row r="195" spans="1:6" x14ac:dyDescent="0.3">
      <c r="A195" s="3" t="s">
        <v>2278</v>
      </c>
      <c r="B195" s="2" t="s">
        <v>3164</v>
      </c>
      <c r="C195" s="2" t="s">
        <v>480</v>
      </c>
      <c r="D195" s="2" t="s">
        <v>3165</v>
      </c>
      <c r="E195" s="2" t="s">
        <v>3415</v>
      </c>
      <c r="F195" s="4" t="s">
        <v>3311</v>
      </c>
    </row>
    <row r="196" spans="1:6" x14ac:dyDescent="0.3">
      <c r="A196" s="3" t="s">
        <v>2279</v>
      </c>
      <c r="B196" s="2" t="s">
        <v>3194</v>
      </c>
      <c r="C196" s="2" t="s">
        <v>482</v>
      </c>
      <c r="D196" s="2" t="s">
        <v>3155</v>
      </c>
      <c r="E196" s="2" t="s">
        <v>3416</v>
      </c>
      <c r="F196" s="4" t="s">
        <v>3313</v>
      </c>
    </row>
    <row r="197" spans="1:6" x14ac:dyDescent="0.3">
      <c r="A197" s="3" t="s">
        <v>2280</v>
      </c>
      <c r="B197" s="2" t="s">
        <v>3106</v>
      </c>
      <c r="C197" s="2" t="s">
        <v>484</v>
      </c>
      <c r="D197" s="2" t="s">
        <v>3107</v>
      </c>
      <c r="E197" s="2" t="s">
        <v>3417</v>
      </c>
      <c r="F197" s="4" t="s">
        <v>3315</v>
      </c>
    </row>
    <row r="198" spans="1:6" x14ac:dyDescent="0.3">
      <c r="A198" s="3" t="s">
        <v>2281</v>
      </c>
      <c r="B198" s="2" t="s">
        <v>3102</v>
      </c>
      <c r="C198" s="2" t="s">
        <v>486</v>
      </c>
      <c r="D198" s="2" t="s">
        <v>3103</v>
      </c>
      <c r="E198" s="2" t="s">
        <v>3418</v>
      </c>
      <c r="F198" s="4" t="s">
        <v>3317</v>
      </c>
    </row>
    <row r="199" spans="1:6" x14ac:dyDescent="0.3">
      <c r="A199" s="3" t="s">
        <v>2282</v>
      </c>
      <c r="B199" s="2" t="s">
        <v>3176</v>
      </c>
      <c r="C199" s="2" t="s">
        <v>488</v>
      </c>
      <c r="D199" s="2" t="s">
        <v>3177</v>
      </c>
      <c r="E199" s="2" t="s">
        <v>3419</v>
      </c>
      <c r="F199" s="4" t="s">
        <v>3319</v>
      </c>
    </row>
    <row r="200" spans="1:6" x14ac:dyDescent="0.3">
      <c r="A200" s="3" t="s">
        <v>2283</v>
      </c>
      <c r="B200" s="2" t="s">
        <v>3139</v>
      </c>
      <c r="C200" s="2" t="s">
        <v>490</v>
      </c>
      <c r="D200" s="2" t="s">
        <v>3107</v>
      </c>
      <c r="E200" s="2" t="s">
        <v>3420</v>
      </c>
      <c r="F200" s="4" t="s">
        <v>3321</v>
      </c>
    </row>
    <row r="201" spans="1:6" x14ac:dyDescent="0.3">
      <c r="A201" s="3" t="s">
        <v>2284</v>
      </c>
      <c r="B201" s="2" t="s">
        <v>3122</v>
      </c>
      <c r="C201" s="2" t="s">
        <v>492</v>
      </c>
      <c r="D201" s="2" t="s">
        <v>3123</v>
      </c>
      <c r="E201" s="2" t="s">
        <v>3421</v>
      </c>
      <c r="F201" s="4" t="s">
        <v>3323</v>
      </c>
    </row>
    <row r="202" spans="1:6" x14ac:dyDescent="0.3">
      <c r="A202" s="3" t="s">
        <v>2285</v>
      </c>
      <c r="B202" s="2" t="s">
        <v>3229</v>
      </c>
      <c r="C202" s="2" t="s">
        <v>494</v>
      </c>
      <c r="D202" s="2" t="s">
        <v>3230</v>
      </c>
      <c r="E202" s="2" t="s">
        <v>3422</v>
      </c>
      <c r="F202" s="4" t="s">
        <v>3325</v>
      </c>
    </row>
    <row r="203" spans="1:6" x14ac:dyDescent="0.3">
      <c r="A203" s="3" t="s">
        <v>2286</v>
      </c>
      <c r="B203" s="2" t="s">
        <v>3213</v>
      </c>
      <c r="C203" s="2" t="s">
        <v>496</v>
      </c>
      <c r="D203" s="2" t="s">
        <v>3214</v>
      </c>
      <c r="E203" s="2" t="s">
        <v>3423</v>
      </c>
      <c r="F203" s="4" t="s">
        <v>3089</v>
      </c>
    </row>
    <row r="204" spans="1:6" x14ac:dyDescent="0.3">
      <c r="A204" s="3" t="s">
        <v>2287</v>
      </c>
      <c r="B204" s="2" t="s">
        <v>3085</v>
      </c>
      <c r="C204" s="2" t="s">
        <v>498</v>
      </c>
      <c r="D204" s="2" t="s">
        <v>3087</v>
      </c>
      <c r="E204" s="2" t="s">
        <v>3424</v>
      </c>
      <c r="F204" s="4" t="s">
        <v>3096</v>
      </c>
    </row>
    <row r="205" spans="1:6" x14ac:dyDescent="0.3">
      <c r="A205" s="3" t="s">
        <v>2288</v>
      </c>
      <c r="B205" s="2" t="s">
        <v>3164</v>
      </c>
      <c r="C205" s="2" t="s">
        <v>500</v>
      </c>
      <c r="D205" s="2" t="s">
        <v>3165</v>
      </c>
      <c r="E205" s="2" t="s">
        <v>3425</v>
      </c>
      <c r="F205" s="4" t="s">
        <v>3098</v>
      </c>
    </row>
    <row r="206" spans="1:6" x14ac:dyDescent="0.3">
      <c r="A206" s="3" t="s">
        <v>2289</v>
      </c>
      <c r="B206" s="2" t="s">
        <v>3085</v>
      </c>
      <c r="C206" s="2" t="s">
        <v>502</v>
      </c>
      <c r="D206" s="2" t="s">
        <v>3087</v>
      </c>
      <c r="E206" s="2" t="s">
        <v>3426</v>
      </c>
      <c r="F206" s="4" t="s">
        <v>3101</v>
      </c>
    </row>
    <row r="207" spans="1:6" x14ac:dyDescent="0.3">
      <c r="A207" s="3" t="s">
        <v>2290</v>
      </c>
      <c r="B207" s="2" t="s">
        <v>3180</v>
      </c>
      <c r="C207" s="2" t="s">
        <v>504</v>
      </c>
      <c r="D207" s="2" t="s">
        <v>3181</v>
      </c>
      <c r="E207" s="2" t="s">
        <v>3427</v>
      </c>
      <c r="F207" s="4" t="s">
        <v>3105</v>
      </c>
    </row>
    <row r="208" spans="1:6" x14ac:dyDescent="0.3">
      <c r="A208" s="3" t="s">
        <v>2291</v>
      </c>
      <c r="B208" s="2" t="s">
        <v>3168</v>
      </c>
      <c r="C208" s="2" t="s">
        <v>506</v>
      </c>
      <c r="D208" s="2" t="s">
        <v>3169</v>
      </c>
      <c r="E208" s="2" t="s">
        <v>3428</v>
      </c>
      <c r="F208" s="4" t="s">
        <v>3109</v>
      </c>
    </row>
    <row r="209" spans="1:6" x14ac:dyDescent="0.3">
      <c r="A209" s="3" t="s">
        <v>2292</v>
      </c>
      <c r="B209" s="2" t="s">
        <v>3229</v>
      </c>
      <c r="C209" s="2" t="s">
        <v>508</v>
      </c>
      <c r="D209" s="2" t="s">
        <v>3230</v>
      </c>
      <c r="E209" s="2" t="s">
        <v>3429</v>
      </c>
      <c r="F209" s="4" t="s">
        <v>3111</v>
      </c>
    </row>
    <row r="210" spans="1:6" x14ac:dyDescent="0.3">
      <c r="A210" s="3" t="s">
        <v>2293</v>
      </c>
      <c r="B210" s="2" t="s">
        <v>3213</v>
      </c>
      <c r="C210" s="2" t="s">
        <v>510</v>
      </c>
      <c r="D210" s="2" t="s">
        <v>3214</v>
      </c>
      <c r="E210" s="2" t="s">
        <v>3430</v>
      </c>
      <c r="F210" s="4" t="s">
        <v>3114</v>
      </c>
    </row>
    <row r="211" spans="1:6" x14ac:dyDescent="0.3">
      <c r="A211" s="3" t="s">
        <v>2294</v>
      </c>
      <c r="B211" s="2" t="s">
        <v>3093</v>
      </c>
      <c r="C211" s="2" t="s">
        <v>512</v>
      </c>
      <c r="D211" s="2" t="s">
        <v>3094</v>
      </c>
      <c r="E211" s="2" t="s">
        <v>3431</v>
      </c>
      <c r="F211" s="4" t="s">
        <v>3118</v>
      </c>
    </row>
    <row r="212" spans="1:6" x14ac:dyDescent="0.3">
      <c r="A212" s="3" t="s">
        <v>2295</v>
      </c>
      <c r="B212" s="2" t="s">
        <v>3168</v>
      </c>
      <c r="C212" s="2" t="s">
        <v>514</v>
      </c>
      <c r="D212" s="2" t="s">
        <v>3169</v>
      </c>
      <c r="E212" s="2" t="s">
        <v>3432</v>
      </c>
      <c r="F212" s="4" t="s">
        <v>3121</v>
      </c>
    </row>
    <row r="213" spans="1:6" x14ac:dyDescent="0.3">
      <c r="A213" s="3" t="s">
        <v>2296</v>
      </c>
      <c r="B213" s="2" t="s">
        <v>3154</v>
      </c>
      <c r="C213" s="2" t="s">
        <v>516</v>
      </c>
      <c r="D213" s="2" t="s">
        <v>3155</v>
      </c>
      <c r="E213" s="2" t="s">
        <v>3433</v>
      </c>
      <c r="F213" s="4" t="s">
        <v>3125</v>
      </c>
    </row>
    <row r="214" spans="1:6" x14ac:dyDescent="0.3">
      <c r="A214" s="3" t="s">
        <v>2297</v>
      </c>
      <c r="B214" s="2" t="s">
        <v>3085</v>
      </c>
      <c r="C214" s="2" t="s">
        <v>518</v>
      </c>
      <c r="D214" s="2" t="s">
        <v>3087</v>
      </c>
      <c r="E214" s="2" t="s">
        <v>3104</v>
      </c>
      <c r="F214" s="4" t="s">
        <v>3127</v>
      </c>
    </row>
    <row r="215" spans="1:6" x14ac:dyDescent="0.3">
      <c r="A215" s="3" t="s">
        <v>2298</v>
      </c>
      <c r="B215" s="2" t="s">
        <v>3093</v>
      </c>
      <c r="C215" s="2" t="s">
        <v>520</v>
      </c>
      <c r="D215" s="2" t="s">
        <v>3094</v>
      </c>
      <c r="E215" s="2" t="s">
        <v>3434</v>
      </c>
      <c r="F215" s="4" t="s">
        <v>3130</v>
      </c>
    </row>
    <row r="216" spans="1:6" x14ac:dyDescent="0.3">
      <c r="A216" s="3" t="s">
        <v>2299</v>
      </c>
      <c r="B216" s="2" t="s">
        <v>3106</v>
      </c>
      <c r="C216" s="2" t="s">
        <v>522</v>
      </c>
      <c r="D216" s="2" t="s">
        <v>3107</v>
      </c>
      <c r="E216" s="2" t="s">
        <v>3435</v>
      </c>
      <c r="F216" s="4" t="s">
        <v>3132</v>
      </c>
    </row>
    <row r="217" spans="1:6" x14ac:dyDescent="0.3">
      <c r="A217" s="3" t="s">
        <v>2300</v>
      </c>
      <c r="B217" s="2" t="s">
        <v>3139</v>
      </c>
      <c r="C217" s="2" t="s">
        <v>524</v>
      </c>
      <c r="D217" s="2" t="s">
        <v>3107</v>
      </c>
      <c r="E217" s="2" t="s">
        <v>3436</v>
      </c>
      <c r="F217" s="4" t="s">
        <v>3136</v>
      </c>
    </row>
    <row r="218" spans="1:6" x14ac:dyDescent="0.3">
      <c r="A218" s="3" t="s">
        <v>2301</v>
      </c>
      <c r="B218" s="2" t="s">
        <v>3229</v>
      </c>
      <c r="C218" s="2" t="s">
        <v>526</v>
      </c>
      <c r="D218" s="2" t="s">
        <v>3230</v>
      </c>
      <c r="E218" s="2" t="s">
        <v>3437</v>
      </c>
      <c r="F218" s="4" t="s">
        <v>3138</v>
      </c>
    </row>
    <row r="219" spans="1:6" x14ac:dyDescent="0.3">
      <c r="A219" s="3" t="s">
        <v>2302</v>
      </c>
      <c r="B219" s="2" t="s">
        <v>3154</v>
      </c>
      <c r="C219" s="2" t="s">
        <v>528</v>
      </c>
      <c r="D219" s="2" t="s">
        <v>3155</v>
      </c>
      <c r="E219" s="2" t="s">
        <v>3438</v>
      </c>
      <c r="F219" s="4" t="s">
        <v>3141</v>
      </c>
    </row>
    <row r="220" spans="1:6" x14ac:dyDescent="0.3">
      <c r="A220" s="3" t="s">
        <v>2303</v>
      </c>
      <c r="B220" s="2" t="s">
        <v>3106</v>
      </c>
      <c r="C220" s="2" t="s">
        <v>530</v>
      </c>
      <c r="D220" s="2" t="s">
        <v>3107</v>
      </c>
      <c r="E220" s="2" t="s">
        <v>3439</v>
      </c>
      <c r="F220" s="4" t="s">
        <v>3143</v>
      </c>
    </row>
    <row r="221" spans="1:6" x14ac:dyDescent="0.3">
      <c r="A221" s="3" t="s">
        <v>2304</v>
      </c>
      <c r="B221" s="2" t="s">
        <v>3168</v>
      </c>
      <c r="C221" s="2" t="s">
        <v>532</v>
      </c>
      <c r="D221" s="2" t="s">
        <v>3169</v>
      </c>
      <c r="E221" s="2" t="s">
        <v>3440</v>
      </c>
      <c r="F221" s="4" t="s">
        <v>3145</v>
      </c>
    </row>
    <row r="222" spans="1:6" x14ac:dyDescent="0.3">
      <c r="A222" s="3" t="s">
        <v>2305</v>
      </c>
      <c r="B222" s="2" t="s">
        <v>3213</v>
      </c>
      <c r="C222" s="2" t="s">
        <v>534</v>
      </c>
      <c r="D222" s="2" t="s">
        <v>3214</v>
      </c>
      <c r="E222" s="2" t="s">
        <v>3405</v>
      </c>
      <c r="F222" s="4" t="s">
        <v>3147</v>
      </c>
    </row>
    <row r="223" spans="1:6" x14ac:dyDescent="0.3">
      <c r="A223" s="3" t="s">
        <v>2306</v>
      </c>
      <c r="B223" s="2" t="s">
        <v>3154</v>
      </c>
      <c r="C223" s="2" t="s">
        <v>536</v>
      </c>
      <c r="D223" s="2" t="s">
        <v>3155</v>
      </c>
      <c r="E223" s="2" t="s">
        <v>3441</v>
      </c>
      <c r="F223" s="4" t="s">
        <v>3149</v>
      </c>
    </row>
    <row r="224" spans="1:6" x14ac:dyDescent="0.3">
      <c r="A224" s="3" t="s">
        <v>2307</v>
      </c>
      <c r="B224" s="2" t="s">
        <v>3168</v>
      </c>
      <c r="C224" s="2" t="s">
        <v>538</v>
      </c>
      <c r="D224" s="2" t="s">
        <v>3169</v>
      </c>
      <c r="E224" s="2" t="s">
        <v>3442</v>
      </c>
      <c r="F224" s="4" t="s">
        <v>3153</v>
      </c>
    </row>
    <row r="225" spans="1:6" x14ac:dyDescent="0.3">
      <c r="A225" s="3" t="s">
        <v>2308</v>
      </c>
      <c r="B225" s="2" t="s">
        <v>3213</v>
      </c>
      <c r="C225" s="2" t="s">
        <v>540</v>
      </c>
      <c r="D225" s="2" t="s">
        <v>3214</v>
      </c>
      <c r="E225" s="2" t="s">
        <v>3443</v>
      </c>
      <c r="F225" s="4" t="s">
        <v>3157</v>
      </c>
    </row>
    <row r="226" spans="1:6" x14ac:dyDescent="0.3">
      <c r="A226" s="3" t="s">
        <v>2309</v>
      </c>
      <c r="B226" s="2" t="s">
        <v>3168</v>
      </c>
      <c r="C226" s="2" t="s">
        <v>542</v>
      </c>
      <c r="D226" s="2" t="s">
        <v>3169</v>
      </c>
      <c r="E226" s="2" t="s">
        <v>3444</v>
      </c>
      <c r="F226" s="4" t="s">
        <v>3159</v>
      </c>
    </row>
    <row r="227" spans="1:6" x14ac:dyDescent="0.3">
      <c r="A227" s="3" t="s">
        <v>2310</v>
      </c>
      <c r="B227" s="2" t="s">
        <v>3194</v>
      </c>
      <c r="C227" s="2" t="s">
        <v>544</v>
      </c>
      <c r="D227" s="2" t="s">
        <v>3155</v>
      </c>
      <c r="E227" s="2" t="s">
        <v>3445</v>
      </c>
      <c r="F227" s="4" t="s">
        <v>3161</v>
      </c>
    </row>
    <row r="228" spans="1:6" x14ac:dyDescent="0.3">
      <c r="A228" s="3" t="s">
        <v>2311</v>
      </c>
      <c r="B228" s="2" t="s">
        <v>3093</v>
      </c>
      <c r="C228" s="2" t="s">
        <v>546</v>
      </c>
      <c r="D228" s="2" t="s">
        <v>3094</v>
      </c>
      <c r="E228" s="2" t="s">
        <v>3446</v>
      </c>
      <c r="F228" s="4" t="s">
        <v>3163</v>
      </c>
    </row>
    <row r="229" spans="1:6" x14ac:dyDescent="0.3">
      <c r="A229" s="3" t="s">
        <v>2312</v>
      </c>
      <c r="B229" s="2" t="s">
        <v>3168</v>
      </c>
      <c r="C229" s="2" t="s">
        <v>548</v>
      </c>
      <c r="D229" s="2" t="s">
        <v>3169</v>
      </c>
      <c r="E229" s="2" t="s">
        <v>3447</v>
      </c>
      <c r="F229" s="4" t="s">
        <v>3167</v>
      </c>
    </row>
    <row r="230" spans="1:6" x14ac:dyDescent="0.3">
      <c r="A230" s="3" t="s">
        <v>2313</v>
      </c>
      <c r="B230" s="2" t="s">
        <v>3217</v>
      </c>
      <c r="C230" s="2" t="s">
        <v>550</v>
      </c>
      <c r="D230" s="2" t="s">
        <v>3218</v>
      </c>
      <c r="E230" s="2" t="s">
        <v>3448</v>
      </c>
      <c r="F230" s="4" t="s">
        <v>3171</v>
      </c>
    </row>
    <row r="231" spans="1:6" x14ac:dyDescent="0.3">
      <c r="A231" s="3" t="s">
        <v>2314</v>
      </c>
      <c r="B231" s="2" t="s">
        <v>3106</v>
      </c>
      <c r="C231" s="2" t="s">
        <v>552</v>
      </c>
      <c r="D231" s="2" t="s">
        <v>3107</v>
      </c>
      <c r="E231" s="2" t="s">
        <v>3449</v>
      </c>
      <c r="F231" s="4" t="s">
        <v>3173</v>
      </c>
    </row>
    <row r="232" spans="1:6" x14ac:dyDescent="0.3">
      <c r="A232" s="3" t="s">
        <v>2315</v>
      </c>
      <c r="B232" s="2" t="s">
        <v>3150</v>
      </c>
      <c r="C232" s="2" t="s">
        <v>554</v>
      </c>
      <c r="D232" s="2" t="s">
        <v>3151</v>
      </c>
      <c r="E232" s="2" t="s">
        <v>3450</v>
      </c>
      <c r="F232" s="4" t="s">
        <v>3175</v>
      </c>
    </row>
    <row r="233" spans="1:6" x14ac:dyDescent="0.3">
      <c r="A233" s="3" t="s">
        <v>2316</v>
      </c>
      <c r="B233" s="2" t="s">
        <v>3180</v>
      </c>
      <c r="C233" s="2" t="s">
        <v>556</v>
      </c>
      <c r="D233" s="2" t="s">
        <v>3181</v>
      </c>
      <c r="E233" s="2" t="s">
        <v>3451</v>
      </c>
      <c r="F233" s="4" t="s">
        <v>3179</v>
      </c>
    </row>
    <row r="234" spans="1:6" x14ac:dyDescent="0.3">
      <c r="A234" s="3" t="s">
        <v>2317</v>
      </c>
      <c r="B234" s="2" t="s">
        <v>3176</v>
      </c>
      <c r="C234" s="2" t="s">
        <v>558</v>
      </c>
      <c r="D234" s="2" t="s">
        <v>3177</v>
      </c>
      <c r="E234" s="2" t="s">
        <v>3452</v>
      </c>
      <c r="F234" s="4" t="s">
        <v>3183</v>
      </c>
    </row>
    <row r="235" spans="1:6" x14ac:dyDescent="0.3">
      <c r="A235" s="3" t="s">
        <v>2318</v>
      </c>
      <c r="B235" s="2" t="s">
        <v>3217</v>
      </c>
      <c r="C235" s="2" t="s">
        <v>560</v>
      </c>
      <c r="D235" s="2" t="s">
        <v>3218</v>
      </c>
      <c r="E235" s="2" t="s">
        <v>3453</v>
      </c>
      <c r="F235" s="4" t="s">
        <v>3185</v>
      </c>
    </row>
    <row r="236" spans="1:6" x14ac:dyDescent="0.3">
      <c r="A236" s="3" t="s">
        <v>2319</v>
      </c>
      <c r="B236" s="2" t="s">
        <v>3154</v>
      </c>
      <c r="C236" s="2" t="s">
        <v>562</v>
      </c>
      <c r="D236" s="2" t="s">
        <v>3155</v>
      </c>
      <c r="E236" s="2" t="s">
        <v>3454</v>
      </c>
      <c r="F236" s="4" t="s">
        <v>3187</v>
      </c>
    </row>
    <row r="237" spans="1:6" x14ac:dyDescent="0.3">
      <c r="A237" s="3" t="s">
        <v>2320</v>
      </c>
      <c r="B237" s="2" t="s">
        <v>3154</v>
      </c>
      <c r="C237" s="2" t="s">
        <v>564</v>
      </c>
      <c r="D237" s="2" t="s">
        <v>3155</v>
      </c>
      <c r="E237" s="2" t="s">
        <v>3455</v>
      </c>
      <c r="F237" s="4" t="s">
        <v>3189</v>
      </c>
    </row>
    <row r="238" spans="1:6" x14ac:dyDescent="0.3">
      <c r="A238" s="3" t="s">
        <v>2321</v>
      </c>
      <c r="B238" s="2" t="s">
        <v>3154</v>
      </c>
      <c r="C238" s="2" t="s">
        <v>566</v>
      </c>
      <c r="D238" s="2" t="s">
        <v>3155</v>
      </c>
      <c r="E238" s="2" t="s">
        <v>3456</v>
      </c>
      <c r="F238" s="4" t="s">
        <v>3191</v>
      </c>
    </row>
    <row r="239" spans="1:6" x14ac:dyDescent="0.3">
      <c r="A239" s="3" t="s">
        <v>2322</v>
      </c>
      <c r="B239" s="2" t="s">
        <v>3168</v>
      </c>
      <c r="C239" s="2" t="s">
        <v>568</v>
      </c>
      <c r="D239" s="2" t="s">
        <v>3169</v>
      </c>
      <c r="E239" s="2" t="s">
        <v>3457</v>
      </c>
      <c r="F239" s="4" t="s">
        <v>3193</v>
      </c>
    </row>
    <row r="240" spans="1:6" x14ac:dyDescent="0.3">
      <c r="A240" s="3" t="s">
        <v>2323</v>
      </c>
      <c r="B240" s="2" t="s">
        <v>3085</v>
      </c>
      <c r="C240" s="2" t="s">
        <v>570</v>
      </c>
      <c r="D240" s="2" t="s">
        <v>3087</v>
      </c>
      <c r="E240" s="2" t="s">
        <v>3458</v>
      </c>
      <c r="F240" s="4" t="s">
        <v>3196</v>
      </c>
    </row>
    <row r="241" spans="1:6" x14ac:dyDescent="0.3">
      <c r="A241" s="3" t="s">
        <v>2324</v>
      </c>
      <c r="B241" s="2" t="s">
        <v>3112</v>
      </c>
      <c r="C241" s="2" t="s">
        <v>572</v>
      </c>
      <c r="D241" s="2" t="s">
        <v>64</v>
      </c>
      <c r="E241" s="2" t="s">
        <v>3459</v>
      </c>
      <c r="F241" s="4" t="s">
        <v>3198</v>
      </c>
    </row>
    <row r="242" spans="1:6" x14ac:dyDescent="0.3">
      <c r="A242" s="3" t="s">
        <v>2325</v>
      </c>
      <c r="B242" s="2" t="s">
        <v>3139</v>
      </c>
      <c r="C242" s="2" t="s">
        <v>574</v>
      </c>
      <c r="D242" s="2" t="s">
        <v>3107</v>
      </c>
      <c r="E242" s="2" t="s">
        <v>3348</v>
      </c>
      <c r="F242" s="4" t="s">
        <v>3200</v>
      </c>
    </row>
    <row r="243" spans="1:6" x14ac:dyDescent="0.3">
      <c r="A243" s="3" t="s">
        <v>2326</v>
      </c>
      <c r="B243" s="2" t="s">
        <v>3217</v>
      </c>
      <c r="C243" s="2" t="s">
        <v>576</v>
      </c>
      <c r="D243" s="2" t="s">
        <v>3218</v>
      </c>
      <c r="E243" s="2" t="s">
        <v>3460</v>
      </c>
      <c r="F243" s="4" t="s">
        <v>3202</v>
      </c>
    </row>
    <row r="244" spans="1:6" x14ac:dyDescent="0.3">
      <c r="A244" s="3" t="s">
        <v>2327</v>
      </c>
      <c r="B244" s="2" t="s">
        <v>3194</v>
      </c>
      <c r="C244" s="2" t="s">
        <v>578</v>
      </c>
      <c r="D244" s="2" t="s">
        <v>3155</v>
      </c>
      <c r="E244" s="2" t="s">
        <v>3461</v>
      </c>
      <c r="F244" s="4" t="s">
        <v>3204</v>
      </c>
    </row>
    <row r="245" spans="1:6" x14ac:dyDescent="0.3">
      <c r="A245" s="3" t="s">
        <v>2328</v>
      </c>
      <c r="B245" s="2" t="s">
        <v>3217</v>
      </c>
      <c r="C245" s="2" t="s">
        <v>580</v>
      </c>
      <c r="D245" s="2" t="s">
        <v>3218</v>
      </c>
      <c r="E245" s="2" t="s">
        <v>3462</v>
      </c>
      <c r="F245" s="4" t="s">
        <v>3206</v>
      </c>
    </row>
    <row r="246" spans="1:6" x14ac:dyDescent="0.3">
      <c r="A246" s="3" t="s">
        <v>2329</v>
      </c>
      <c r="B246" s="2" t="s">
        <v>3112</v>
      </c>
      <c r="C246" s="2" t="s">
        <v>582</v>
      </c>
      <c r="D246" s="2" t="s">
        <v>64</v>
      </c>
      <c r="E246" s="2" t="s">
        <v>3463</v>
      </c>
      <c r="F246" s="4" t="s">
        <v>3208</v>
      </c>
    </row>
    <row r="247" spans="1:6" x14ac:dyDescent="0.3">
      <c r="A247" s="3" t="s">
        <v>2330</v>
      </c>
      <c r="B247" s="2" t="s">
        <v>3112</v>
      </c>
      <c r="C247" s="2" t="s">
        <v>584</v>
      </c>
      <c r="D247" s="2" t="s">
        <v>64</v>
      </c>
      <c r="E247" s="2" t="s">
        <v>3464</v>
      </c>
      <c r="F247" s="4" t="s">
        <v>3210</v>
      </c>
    </row>
    <row r="248" spans="1:6" x14ac:dyDescent="0.3">
      <c r="A248" s="3" t="s">
        <v>2331</v>
      </c>
      <c r="B248" s="2" t="s">
        <v>3115</v>
      </c>
      <c r="C248" s="2" t="s">
        <v>586</v>
      </c>
      <c r="D248" s="2" t="s">
        <v>3116</v>
      </c>
      <c r="E248" s="2" t="s">
        <v>3465</v>
      </c>
      <c r="F248" s="4" t="s">
        <v>3212</v>
      </c>
    </row>
    <row r="249" spans="1:6" x14ac:dyDescent="0.3">
      <c r="A249" s="3" t="s">
        <v>2332</v>
      </c>
      <c r="B249" s="2" t="s">
        <v>3122</v>
      </c>
      <c r="C249" s="2" t="s">
        <v>588</v>
      </c>
      <c r="D249" s="2" t="s">
        <v>3123</v>
      </c>
      <c r="E249" s="2" t="s">
        <v>3466</v>
      </c>
      <c r="F249" s="4" t="s">
        <v>3216</v>
      </c>
    </row>
    <row r="250" spans="1:6" x14ac:dyDescent="0.3">
      <c r="A250" s="3" t="s">
        <v>2333</v>
      </c>
      <c r="B250" s="2" t="s">
        <v>3213</v>
      </c>
      <c r="C250" s="2" t="s">
        <v>590</v>
      </c>
      <c r="D250" s="2" t="s">
        <v>3214</v>
      </c>
      <c r="E250" s="2" t="s">
        <v>3467</v>
      </c>
      <c r="F250" s="4" t="s">
        <v>3220</v>
      </c>
    </row>
    <row r="251" spans="1:6" x14ac:dyDescent="0.3">
      <c r="A251" s="3" t="s">
        <v>2334</v>
      </c>
      <c r="B251" s="2" t="s">
        <v>3139</v>
      </c>
      <c r="C251" s="2" t="s">
        <v>592</v>
      </c>
      <c r="D251" s="2" t="s">
        <v>3107</v>
      </c>
      <c r="E251" s="2" t="s">
        <v>3468</v>
      </c>
      <c r="F251" s="4" t="s">
        <v>3222</v>
      </c>
    </row>
    <row r="252" spans="1:6" x14ac:dyDescent="0.3">
      <c r="A252" s="3" t="s">
        <v>2335</v>
      </c>
      <c r="B252" s="2" t="s">
        <v>3217</v>
      </c>
      <c r="C252" s="2" t="s">
        <v>594</v>
      </c>
      <c r="D252" s="2" t="s">
        <v>3218</v>
      </c>
      <c r="E252" s="2" t="s">
        <v>3469</v>
      </c>
      <c r="F252" s="4" t="s">
        <v>3224</v>
      </c>
    </row>
    <row r="253" spans="1:6" x14ac:dyDescent="0.3">
      <c r="A253" s="3" t="s">
        <v>2336</v>
      </c>
      <c r="B253" s="2" t="s">
        <v>3093</v>
      </c>
      <c r="C253" s="2" t="s">
        <v>596</v>
      </c>
      <c r="D253" s="2" t="s">
        <v>3094</v>
      </c>
      <c r="E253" s="2" t="s">
        <v>3470</v>
      </c>
      <c r="F253" s="4" t="s">
        <v>3226</v>
      </c>
    </row>
    <row r="254" spans="1:6" x14ac:dyDescent="0.3">
      <c r="A254" s="3" t="s">
        <v>2337</v>
      </c>
      <c r="B254" s="2" t="s">
        <v>3093</v>
      </c>
      <c r="C254" s="2" t="s">
        <v>598</v>
      </c>
      <c r="D254" s="2" t="s">
        <v>3094</v>
      </c>
      <c r="E254" s="2" t="s">
        <v>3471</v>
      </c>
      <c r="F254" s="4" t="s">
        <v>3228</v>
      </c>
    </row>
    <row r="255" spans="1:6" x14ac:dyDescent="0.3">
      <c r="A255" s="3" t="s">
        <v>2338</v>
      </c>
      <c r="B255" s="2" t="s">
        <v>3229</v>
      </c>
      <c r="C255" s="2" t="s">
        <v>600</v>
      </c>
      <c r="D255" s="2" t="s">
        <v>3230</v>
      </c>
      <c r="E255" s="2" t="s">
        <v>3472</v>
      </c>
      <c r="F255" s="4" t="s">
        <v>3232</v>
      </c>
    </row>
    <row r="256" spans="1:6" x14ac:dyDescent="0.3">
      <c r="A256" s="3" t="s">
        <v>2339</v>
      </c>
      <c r="B256" s="2" t="s">
        <v>3194</v>
      </c>
      <c r="C256" s="2" t="s">
        <v>602</v>
      </c>
      <c r="D256" s="2" t="s">
        <v>3155</v>
      </c>
      <c r="E256" s="2" t="s">
        <v>3473</v>
      </c>
      <c r="F256" s="4" t="s">
        <v>3233</v>
      </c>
    </row>
    <row r="257" spans="1:6" x14ac:dyDescent="0.3">
      <c r="A257" s="3" t="s">
        <v>2340</v>
      </c>
      <c r="B257" s="2" t="s">
        <v>3154</v>
      </c>
      <c r="C257" s="2" t="s">
        <v>604</v>
      </c>
      <c r="D257" s="2" t="s">
        <v>3155</v>
      </c>
      <c r="E257" s="2" t="s">
        <v>3333</v>
      </c>
      <c r="F257" s="4" t="s">
        <v>3235</v>
      </c>
    </row>
    <row r="258" spans="1:6" x14ac:dyDescent="0.3">
      <c r="A258" s="3" t="s">
        <v>2341</v>
      </c>
      <c r="B258" s="2" t="s">
        <v>3090</v>
      </c>
      <c r="C258" s="2" t="s">
        <v>606</v>
      </c>
      <c r="D258" s="2" t="s">
        <v>3091</v>
      </c>
      <c r="E258" s="2" t="s">
        <v>3474</v>
      </c>
      <c r="F258" s="4" t="s">
        <v>3237</v>
      </c>
    </row>
    <row r="259" spans="1:6" x14ac:dyDescent="0.3">
      <c r="A259" s="3" t="s">
        <v>2342</v>
      </c>
      <c r="B259" s="2" t="s">
        <v>3168</v>
      </c>
      <c r="C259" s="2" t="s">
        <v>608</v>
      </c>
      <c r="D259" s="2" t="s">
        <v>3169</v>
      </c>
      <c r="E259" s="2" t="s">
        <v>3475</v>
      </c>
      <c r="F259" s="4" t="s">
        <v>3239</v>
      </c>
    </row>
    <row r="260" spans="1:6" x14ac:dyDescent="0.3">
      <c r="A260" s="3" t="s">
        <v>2343</v>
      </c>
      <c r="B260" s="2" t="s">
        <v>3150</v>
      </c>
      <c r="C260" s="2" t="s">
        <v>610</v>
      </c>
      <c r="D260" s="2" t="s">
        <v>3151</v>
      </c>
      <c r="E260" s="2" t="s">
        <v>3476</v>
      </c>
      <c r="F260" s="4" t="s">
        <v>3241</v>
      </c>
    </row>
    <row r="261" spans="1:6" x14ac:dyDescent="0.3">
      <c r="A261" s="3" t="s">
        <v>2344</v>
      </c>
      <c r="B261" s="2" t="s">
        <v>3115</v>
      </c>
      <c r="C261" s="2" t="s">
        <v>612</v>
      </c>
      <c r="D261" s="2" t="s">
        <v>3116</v>
      </c>
      <c r="E261" s="2" t="s">
        <v>3477</v>
      </c>
      <c r="F261" s="4" t="s">
        <v>3243</v>
      </c>
    </row>
    <row r="262" spans="1:6" x14ac:dyDescent="0.3">
      <c r="A262" s="3" t="s">
        <v>2345</v>
      </c>
      <c r="B262" s="2" t="s">
        <v>3229</v>
      </c>
      <c r="C262" s="2" t="s">
        <v>614</v>
      </c>
      <c r="D262" s="2" t="s">
        <v>3230</v>
      </c>
      <c r="E262" s="2" t="s">
        <v>3478</v>
      </c>
      <c r="F262" s="4" t="s">
        <v>3245</v>
      </c>
    </row>
    <row r="263" spans="1:6" x14ac:dyDescent="0.3">
      <c r="A263" s="3" t="s">
        <v>2346</v>
      </c>
      <c r="B263" s="2" t="s">
        <v>3176</v>
      </c>
      <c r="C263" s="2" t="s">
        <v>616</v>
      </c>
      <c r="D263" s="2" t="s">
        <v>3177</v>
      </c>
      <c r="E263" s="2" t="s">
        <v>3479</v>
      </c>
      <c r="F263" s="4" t="s">
        <v>3247</v>
      </c>
    </row>
    <row r="264" spans="1:6" x14ac:dyDescent="0.3">
      <c r="A264" s="3" t="s">
        <v>2347</v>
      </c>
      <c r="B264" s="2" t="s">
        <v>3085</v>
      </c>
      <c r="C264" s="2" t="s">
        <v>618</v>
      </c>
      <c r="D264" s="2" t="s">
        <v>3087</v>
      </c>
      <c r="E264" s="2" t="s">
        <v>3480</v>
      </c>
      <c r="F264" s="4" t="s">
        <v>3249</v>
      </c>
    </row>
    <row r="265" spans="1:6" x14ac:dyDescent="0.3">
      <c r="A265" s="3" t="s">
        <v>2348</v>
      </c>
      <c r="B265" s="2" t="s">
        <v>3093</v>
      </c>
      <c r="C265" s="2" t="s">
        <v>620</v>
      </c>
      <c r="D265" s="2" t="s">
        <v>3094</v>
      </c>
      <c r="E265" s="2" t="s">
        <v>3481</v>
      </c>
      <c r="F265" s="4" t="s">
        <v>3251</v>
      </c>
    </row>
    <row r="266" spans="1:6" x14ac:dyDescent="0.3">
      <c r="A266" s="3" t="s">
        <v>2349</v>
      </c>
      <c r="B266" s="2" t="s">
        <v>3168</v>
      </c>
      <c r="C266" s="2" t="s">
        <v>622</v>
      </c>
      <c r="D266" s="2" t="s">
        <v>3169</v>
      </c>
      <c r="E266" s="2" t="s">
        <v>3443</v>
      </c>
      <c r="F266" s="4" t="s">
        <v>3253</v>
      </c>
    </row>
    <row r="267" spans="1:6" x14ac:dyDescent="0.3">
      <c r="A267" s="3" t="s">
        <v>2350</v>
      </c>
      <c r="B267" s="2" t="s">
        <v>3139</v>
      </c>
      <c r="C267" s="2" t="s">
        <v>624</v>
      </c>
      <c r="D267" s="2" t="s">
        <v>3107</v>
      </c>
      <c r="E267" s="2" t="s">
        <v>3482</v>
      </c>
      <c r="F267" s="4" t="s">
        <v>3255</v>
      </c>
    </row>
    <row r="268" spans="1:6" x14ac:dyDescent="0.3">
      <c r="A268" s="3" t="s">
        <v>2351</v>
      </c>
      <c r="B268" s="2" t="s">
        <v>3154</v>
      </c>
      <c r="C268" s="2" t="s">
        <v>626</v>
      </c>
      <c r="D268" s="2" t="s">
        <v>3155</v>
      </c>
      <c r="E268" s="2" t="s">
        <v>3483</v>
      </c>
      <c r="F268" s="4" t="s">
        <v>3257</v>
      </c>
    </row>
    <row r="269" spans="1:6" x14ac:dyDescent="0.3">
      <c r="A269" s="3" t="s">
        <v>2352</v>
      </c>
      <c r="B269" s="2" t="s">
        <v>3122</v>
      </c>
      <c r="C269" s="2" t="s">
        <v>628</v>
      </c>
      <c r="D269" s="2" t="s">
        <v>3123</v>
      </c>
      <c r="E269" s="2" t="s">
        <v>3484</v>
      </c>
      <c r="F269" s="4" t="s">
        <v>3259</v>
      </c>
    </row>
    <row r="270" spans="1:6" x14ac:dyDescent="0.3">
      <c r="A270" s="3" t="s">
        <v>2353</v>
      </c>
      <c r="B270" s="2" t="s">
        <v>3133</v>
      </c>
      <c r="C270" s="2" t="s">
        <v>630</v>
      </c>
      <c r="D270" s="2" t="s">
        <v>3134</v>
      </c>
      <c r="E270" s="2" t="s">
        <v>3485</v>
      </c>
      <c r="F270" s="4" t="s">
        <v>3261</v>
      </c>
    </row>
    <row r="271" spans="1:6" x14ac:dyDescent="0.3">
      <c r="A271" s="3" t="s">
        <v>2354</v>
      </c>
      <c r="B271" s="2" t="s">
        <v>3133</v>
      </c>
      <c r="C271" s="2" t="s">
        <v>632</v>
      </c>
      <c r="D271" s="2" t="s">
        <v>3134</v>
      </c>
      <c r="E271" s="2" t="s">
        <v>3486</v>
      </c>
      <c r="F271" s="4" t="s">
        <v>3263</v>
      </c>
    </row>
    <row r="272" spans="1:6" x14ac:dyDescent="0.3">
      <c r="A272" s="3" t="s">
        <v>2355</v>
      </c>
      <c r="B272" s="2" t="s">
        <v>3194</v>
      </c>
      <c r="C272" s="2" t="s">
        <v>634</v>
      </c>
      <c r="D272" s="2" t="s">
        <v>3155</v>
      </c>
      <c r="E272" s="2" t="s">
        <v>3487</v>
      </c>
      <c r="F272" s="4" t="s">
        <v>3265</v>
      </c>
    </row>
    <row r="273" spans="1:6" x14ac:dyDescent="0.3">
      <c r="A273" s="3" t="s">
        <v>2356</v>
      </c>
      <c r="B273" s="2" t="s">
        <v>3194</v>
      </c>
      <c r="C273" s="2" t="s">
        <v>636</v>
      </c>
      <c r="D273" s="2" t="s">
        <v>3155</v>
      </c>
      <c r="E273" s="2" t="s">
        <v>3443</v>
      </c>
      <c r="F273" s="4" t="s">
        <v>3267</v>
      </c>
    </row>
    <row r="274" spans="1:6" x14ac:dyDescent="0.3">
      <c r="A274" s="3" t="s">
        <v>2357</v>
      </c>
      <c r="B274" s="2" t="s">
        <v>3119</v>
      </c>
      <c r="C274" s="2" t="s">
        <v>638</v>
      </c>
      <c r="D274" s="2" t="s">
        <v>75</v>
      </c>
      <c r="E274" s="2" t="s">
        <v>3488</v>
      </c>
      <c r="F274" s="4" t="s">
        <v>3269</v>
      </c>
    </row>
    <row r="275" spans="1:6" x14ac:dyDescent="0.3">
      <c r="A275" s="3" t="s">
        <v>2358</v>
      </c>
      <c r="B275" s="2" t="s">
        <v>3102</v>
      </c>
      <c r="C275" s="2" t="s">
        <v>640</v>
      </c>
      <c r="D275" s="2" t="s">
        <v>3103</v>
      </c>
      <c r="E275" s="2" t="s">
        <v>3489</v>
      </c>
      <c r="F275" s="4" t="s">
        <v>3271</v>
      </c>
    </row>
    <row r="276" spans="1:6" x14ac:dyDescent="0.3">
      <c r="A276" s="3" t="s">
        <v>2359</v>
      </c>
      <c r="B276" s="2" t="s">
        <v>3176</v>
      </c>
      <c r="C276" s="2" t="s">
        <v>642</v>
      </c>
      <c r="D276" s="2" t="s">
        <v>3177</v>
      </c>
      <c r="E276" s="2" t="s">
        <v>3490</v>
      </c>
      <c r="F276" s="4" t="s">
        <v>3273</v>
      </c>
    </row>
    <row r="277" spans="1:6" x14ac:dyDescent="0.3">
      <c r="A277" s="3" t="s">
        <v>2360</v>
      </c>
      <c r="B277" s="2" t="s">
        <v>3213</v>
      </c>
      <c r="C277" s="2" t="s">
        <v>644</v>
      </c>
      <c r="D277" s="2" t="s">
        <v>3214</v>
      </c>
      <c r="E277" s="2" t="s">
        <v>3491</v>
      </c>
      <c r="F277" s="4" t="s">
        <v>3275</v>
      </c>
    </row>
    <row r="278" spans="1:6" x14ac:dyDescent="0.3">
      <c r="A278" s="3" t="s">
        <v>2361</v>
      </c>
      <c r="B278" s="2" t="s">
        <v>3164</v>
      </c>
      <c r="C278" s="2" t="s">
        <v>646</v>
      </c>
      <c r="D278" s="2" t="s">
        <v>3165</v>
      </c>
      <c r="E278" s="2" t="s">
        <v>3492</v>
      </c>
      <c r="F278" s="4" t="s">
        <v>3277</v>
      </c>
    </row>
    <row r="279" spans="1:6" x14ac:dyDescent="0.3">
      <c r="A279" s="3" t="s">
        <v>2362</v>
      </c>
      <c r="B279" s="2" t="s">
        <v>3194</v>
      </c>
      <c r="C279" s="2" t="s">
        <v>648</v>
      </c>
      <c r="D279" s="2" t="s">
        <v>3155</v>
      </c>
      <c r="E279" s="2" t="s">
        <v>3468</v>
      </c>
      <c r="F279" s="4" t="s">
        <v>3279</v>
      </c>
    </row>
    <row r="280" spans="1:6" x14ac:dyDescent="0.3">
      <c r="A280" s="3" t="s">
        <v>2363</v>
      </c>
      <c r="B280" s="2" t="s">
        <v>3115</v>
      </c>
      <c r="C280" s="2" t="s">
        <v>3493</v>
      </c>
      <c r="D280" s="2" t="s">
        <v>3116</v>
      </c>
      <c r="E280" s="2" t="s">
        <v>3494</v>
      </c>
      <c r="F280" s="4" t="s">
        <v>3281</v>
      </c>
    </row>
    <row r="281" spans="1:6" x14ac:dyDescent="0.3">
      <c r="A281" s="3" t="s">
        <v>2364</v>
      </c>
      <c r="B281" s="2" t="s">
        <v>3119</v>
      </c>
      <c r="C281" s="2" t="s">
        <v>652</v>
      </c>
      <c r="D281" s="2" t="s">
        <v>75</v>
      </c>
      <c r="E281" s="2" t="s">
        <v>3495</v>
      </c>
      <c r="F281" s="4" t="s">
        <v>3283</v>
      </c>
    </row>
    <row r="282" spans="1:6" x14ac:dyDescent="0.3">
      <c r="A282" s="3" t="s">
        <v>2365</v>
      </c>
      <c r="B282" s="2" t="s">
        <v>3106</v>
      </c>
      <c r="C282" s="2" t="s">
        <v>654</v>
      </c>
      <c r="D282" s="2" t="s">
        <v>3107</v>
      </c>
      <c r="E282" s="2" t="s">
        <v>3496</v>
      </c>
      <c r="F282" s="4" t="s">
        <v>3285</v>
      </c>
    </row>
    <row r="283" spans="1:6" x14ac:dyDescent="0.3">
      <c r="A283" s="3" t="s">
        <v>2366</v>
      </c>
      <c r="B283" s="2" t="s">
        <v>3139</v>
      </c>
      <c r="C283" s="2" t="s">
        <v>656</v>
      </c>
      <c r="D283" s="2" t="s">
        <v>3107</v>
      </c>
      <c r="E283" s="2" t="s">
        <v>3497</v>
      </c>
      <c r="F283" s="4" t="s">
        <v>3287</v>
      </c>
    </row>
    <row r="284" spans="1:6" x14ac:dyDescent="0.3">
      <c r="A284" s="3" t="s">
        <v>2367</v>
      </c>
      <c r="B284" s="2" t="s">
        <v>3102</v>
      </c>
      <c r="C284" s="2" t="s">
        <v>658</v>
      </c>
      <c r="D284" s="2" t="s">
        <v>3103</v>
      </c>
      <c r="E284" s="2" t="s">
        <v>3498</v>
      </c>
      <c r="F284" s="4" t="s">
        <v>3289</v>
      </c>
    </row>
    <row r="285" spans="1:6" x14ac:dyDescent="0.3">
      <c r="A285" s="3" t="s">
        <v>2368</v>
      </c>
      <c r="B285" s="2" t="s">
        <v>3154</v>
      </c>
      <c r="C285" s="2" t="s">
        <v>660</v>
      </c>
      <c r="D285" s="2" t="s">
        <v>3155</v>
      </c>
      <c r="E285" s="2" t="s">
        <v>3499</v>
      </c>
      <c r="F285" s="4" t="s">
        <v>3291</v>
      </c>
    </row>
    <row r="286" spans="1:6" x14ac:dyDescent="0.3">
      <c r="A286" s="3" t="s">
        <v>2369</v>
      </c>
      <c r="B286" s="2" t="s">
        <v>3133</v>
      </c>
      <c r="C286" s="2" t="s">
        <v>662</v>
      </c>
      <c r="D286" s="2" t="s">
        <v>3134</v>
      </c>
      <c r="E286" s="2" t="s">
        <v>3500</v>
      </c>
      <c r="F286" s="4" t="s">
        <v>3293</v>
      </c>
    </row>
    <row r="287" spans="1:6" x14ac:dyDescent="0.3">
      <c r="A287" s="3" t="s">
        <v>2370</v>
      </c>
      <c r="B287" s="2" t="s">
        <v>3194</v>
      </c>
      <c r="C287" s="2" t="s">
        <v>664</v>
      </c>
      <c r="D287" s="2" t="s">
        <v>3155</v>
      </c>
      <c r="E287" s="2" t="s">
        <v>3501</v>
      </c>
      <c r="F287" s="4" t="s">
        <v>3295</v>
      </c>
    </row>
    <row r="288" spans="1:6" x14ac:dyDescent="0.3">
      <c r="A288" s="3" t="s">
        <v>2371</v>
      </c>
      <c r="B288" s="2" t="s">
        <v>3154</v>
      </c>
      <c r="C288" s="2" t="s">
        <v>666</v>
      </c>
      <c r="D288" s="2" t="s">
        <v>3155</v>
      </c>
      <c r="E288" s="2" t="s">
        <v>3502</v>
      </c>
      <c r="F288" s="4" t="s">
        <v>3297</v>
      </c>
    </row>
    <row r="289" spans="1:6" x14ac:dyDescent="0.3">
      <c r="A289" s="3" t="s">
        <v>2372</v>
      </c>
      <c r="B289" s="2" t="s">
        <v>3229</v>
      </c>
      <c r="C289" s="2" t="s">
        <v>668</v>
      </c>
      <c r="D289" s="2" t="s">
        <v>3230</v>
      </c>
      <c r="E289" s="2" t="s">
        <v>3503</v>
      </c>
      <c r="F289" s="4" t="s">
        <v>3299</v>
      </c>
    </row>
    <row r="290" spans="1:6" x14ac:dyDescent="0.3">
      <c r="A290" s="3" t="s">
        <v>2373</v>
      </c>
      <c r="B290" s="2" t="s">
        <v>3139</v>
      </c>
      <c r="C290" s="2" t="s">
        <v>670</v>
      </c>
      <c r="D290" s="2" t="s">
        <v>3107</v>
      </c>
      <c r="E290" s="2" t="s">
        <v>3504</v>
      </c>
      <c r="F290" s="4" t="s">
        <v>3301</v>
      </c>
    </row>
    <row r="291" spans="1:6" x14ac:dyDescent="0.3">
      <c r="A291" s="3" t="s">
        <v>2374</v>
      </c>
      <c r="B291" s="2" t="s">
        <v>3119</v>
      </c>
      <c r="C291" s="2" t="s">
        <v>672</v>
      </c>
      <c r="D291" s="2" t="s">
        <v>75</v>
      </c>
      <c r="E291" s="2" t="s">
        <v>3505</v>
      </c>
      <c r="F291" s="4" t="s">
        <v>3303</v>
      </c>
    </row>
    <row r="292" spans="1:6" x14ac:dyDescent="0.3">
      <c r="A292" s="3" t="s">
        <v>2375</v>
      </c>
      <c r="B292" s="2" t="s">
        <v>3106</v>
      </c>
      <c r="C292" s="2" t="s">
        <v>674</v>
      </c>
      <c r="D292" s="2" t="s">
        <v>3107</v>
      </c>
      <c r="E292" s="2" t="s">
        <v>3506</v>
      </c>
      <c r="F292" s="4" t="s">
        <v>3305</v>
      </c>
    </row>
    <row r="293" spans="1:6" x14ac:dyDescent="0.3">
      <c r="A293" s="3" t="s">
        <v>2376</v>
      </c>
      <c r="B293" s="2" t="s">
        <v>3133</v>
      </c>
      <c r="C293" s="2" t="s">
        <v>676</v>
      </c>
      <c r="D293" s="2" t="s">
        <v>3134</v>
      </c>
      <c r="E293" s="2" t="s">
        <v>3507</v>
      </c>
      <c r="F293" s="4" t="s">
        <v>3307</v>
      </c>
    </row>
    <row r="294" spans="1:6" x14ac:dyDescent="0.3">
      <c r="A294" s="3" t="s">
        <v>2377</v>
      </c>
      <c r="B294" s="2" t="s">
        <v>3139</v>
      </c>
      <c r="C294" s="2" t="s">
        <v>678</v>
      </c>
      <c r="D294" s="2" t="s">
        <v>3107</v>
      </c>
      <c r="E294" s="2" t="s">
        <v>3248</v>
      </c>
      <c r="F294" s="4" t="s">
        <v>3309</v>
      </c>
    </row>
    <row r="295" spans="1:6" x14ac:dyDescent="0.3">
      <c r="A295" s="3" t="s">
        <v>2378</v>
      </c>
      <c r="B295" s="2" t="s">
        <v>3217</v>
      </c>
      <c r="C295" s="2" t="s">
        <v>680</v>
      </c>
      <c r="D295" s="2" t="s">
        <v>3218</v>
      </c>
      <c r="E295" s="2" t="s">
        <v>3508</v>
      </c>
      <c r="F295" s="4" t="s">
        <v>3311</v>
      </c>
    </row>
    <row r="296" spans="1:6" x14ac:dyDescent="0.3">
      <c r="A296" s="3" t="s">
        <v>2379</v>
      </c>
      <c r="B296" s="2" t="s">
        <v>3090</v>
      </c>
      <c r="C296" s="2" t="s">
        <v>682</v>
      </c>
      <c r="D296" s="2" t="s">
        <v>3091</v>
      </c>
      <c r="E296" s="2" t="s">
        <v>3509</v>
      </c>
      <c r="F296" s="4" t="s">
        <v>3313</v>
      </c>
    </row>
    <row r="297" spans="1:6" x14ac:dyDescent="0.3">
      <c r="A297" s="3" t="s">
        <v>2380</v>
      </c>
      <c r="B297" s="2" t="s">
        <v>3119</v>
      </c>
      <c r="C297" s="2" t="s">
        <v>684</v>
      </c>
      <c r="D297" s="2" t="s">
        <v>75</v>
      </c>
      <c r="E297" s="2" t="s">
        <v>3510</v>
      </c>
      <c r="F297" s="4" t="s">
        <v>3315</v>
      </c>
    </row>
    <row r="298" spans="1:6" x14ac:dyDescent="0.3">
      <c r="A298" s="3" t="s">
        <v>2381</v>
      </c>
      <c r="B298" s="2" t="s">
        <v>3194</v>
      </c>
      <c r="C298" s="2" t="s">
        <v>686</v>
      </c>
      <c r="D298" s="2" t="s">
        <v>3155</v>
      </c>
      <c r="E298" s="2" t="s">
        <v>3262</v>
      </c>
      <c r="F298" s="4" t="s">
        <v>3317</v>
      </c>
    </row>
    <row r="299" spans="1:6" x14ac:dyDescent="0.3">
      <c r="A299" s="3" t="s">
        <v>2382</v>
      </c>
      <c r="B299" s="2" t="s">
        <v>3154</v>
      </c>
      <c r="C299" s="2" t="s">
        <v>688</v>
      </c>
      <c r="D299" s="2" t="s">
        <v>3155</v>
      </c>
      <c r="E299" s="2" t="s">
        <v>3511</v>
      </c>
      <c r="F299" s="4" t="s">
        <v>3319</v>
      </c>
    </row>
    <row r="300" spans="1:6" x14ac:dyDescent="0.3">
      <c r="A300" s="3" t="s">
        <v>2383</v>
      </c>
      <c r="B300" s="2" t="s">
        <v>3168</v>
      </c>
      <c r="C300" s="2" t="s">
        <v>690</v>
      </c>
      <c r="D300" s="2" t="s">
        <v>3169</v>
      </c>
      <c r="E300" s="2" t="s">
        <v>3512</v>
      </c>
      <c r="F300" s="4" t="s">
        <v>3321</v>
      </c>
    </row>
    <row r="301" spans="1:6" x14ac:dyDescent="0.3">
      <c r="A301" s="3" t="s">
        <v>2384</v>
      </c>
      <c r="B301" s="2" t="s">
        <v>3102</v>
      </c>
      <c r="C301" s="2" t="s">
        <v>692</v>
      </c>
      <c r="D301" s="2" t="s">
        <v>3103</v>
      </c>
      <c r="E301" s="2" t="s">
        <v>3513</v>
      </c>
      <c r="F301" s="4" t="s">
        <v>3323</v>
      </c>
    </row>
    <row r="302" spans="1:6" x14ac:dyDescent="0.3">
      <c r="A302" s="3" t="s">
        <v>2385</v>
      </c>
      <c r="B302" s="2" t="s">
        <v>3139</v>
      </c>
      <c r="C302" s="2" t="s">
        <v>694</v>
      </c>
      <c r="D302" s="2" t="s">
        <v>3107</v>
      </c>
      <c r="E302" s="2" t="s">
        <v>3514</v>
      </c>
      <c r="F302" s="4" t="s">
        <v>3325</v>
      </c>
    </row>
    <row r="303" spans="1:6" x14ac:dyDescent="0.3">
      <c r="A303" s="3" t="s">
        <v>2386</v>
      </c>
      <c r="B303" s="2" t="s">
        <v>3194</v>
      </c>
      <c r="C303" s="2" t="s">
        <v>696</v>
      </c>
      <c r="D303" s="2" t="s">
        <v>3155</v>
      </c>
      <c r="E303" s="2" t="s">
        <v>3515</v>
      </c>
      <c r="F303" s="4" t="s">
        <v>3089</v>
      </c>
    </row>
    <row r="304" spans="1:6" x14ac:dyDescent="0.3">
      <c r="A304" s="3" t="s">
        <v>2387</v>
      </c>
      <c r="B304" s="2" t="s">
        <v>3164</v>
      </c>
      <c r="C304" s="2" t="s">
        <v>3516</v>
      </c>
      <c r="D304" s="2" t="s">
        <v>3165</v>
      </c>
      <c r="E304" s="2" t="s">
        <v>3517</v>
      </c>
      <c r="F304" s="4" t="s">
        <v>3096</v>
      </c>
    </row>
    <row r="305" spans="1:6" x14ac:dyDescent="0.3">
      <c r="A305" s="3" t="s">
        <v>2388</v>
      </c>
      <c r="B305" s="2" t="s">
        <v>3168</v>
      </c>
      <c r="C305" s="2" t="s">
        <v>700</v>
      </c>
      <c r="D305" s="2" t="s">
        <v>3169</v>
      </c>
      <c r="E305" s="2" t="s">
        <v>3518</v>
      </c>
      <c r="F305" s="4" t="s">
        <v>3098</v>
      </c>
    </row>
    <row r="306" spans="1:6" x14ac:dyDescent="0.3">
      <c r="A306" s="3" t="s">
        <v>2389</v>
      </c>
      <c r="B306" s="2" t="s">
        <v>3180</v>
      </c>
      <c r="C306" s="2" t="s">
        <v>702</v>
      </c>
      <c r="D306" s="2" t="s">
        <v>3181</v>
      </c>
      <c r="E306" s="2" t="s">
        <v>3519</v>
      </c>
      <c r="F306" s="4" t="s">
        <v>3101</v>
      </c>
    </row>
    <row r="307" spans="1:6" x14ac:dyDescent="0.3">
      <c r="A307" s="3" t="s">
        <v>2390</v>
      </c>
      <c r="B307" s="2" t="s">
        <v>3213</v>
      </c>
      <c r="C307" s="2" t="s">
        <v>704</v>
      </c>
      <c r="D307" s="2" t="s">
        <v>3214</v>
      </c>
      <c r="E307" s="2" t="s">
        <v>3520</v>
      </c>
      <c r="F307" s="4" t="s">
        <v>3105</v>
      </c>
    </row>
    <row r="308" spans="1:6" x14ac:dyDescent="0.3">
      <c r="A308" s="3" t="s">
        <v>2391</v>
      </c>
      <c r="B308" s="2" t="s">
        <v>3176</v>
      </c>
      <c r="C308" s="2" t="s">
        <v>706</v>
      </c>
      <c r="D308" s="2" t="s">
        <v>3177</v>
      </c>
      <c r="E308" s="2" t="s">
        <v>3521</v>
      </c>
      <c r="F308" s="4" t="s">
        <v>3109</v>
      </c>
    </row>
    <row r="309" spans="1:6" x14ac:dyDescent="0.3">
      <c r="A309" s="3" t="s">
        <v>2392</v>
      </c>
      <c r="B309" s="2" t="s">
        <v>3154</v>
      </c>
      <c r="C309" s="2" t="s">
        <v>708</v>
      </c>
      <c r="D309" s="2" t="s">
        <v>3155</v>
      </c>
      <c r="E309" s="2" t="s">
        <v>3522</v>
      </c>
      <c r="F309" s="4" t="s">
        <v>3111</v>
      </c>
    </row>
    <row r="310" spans="1:6" x14ac:dyDescent="0.3">
      <c r="A310" s="3" t="s">
        <v>2393</v>
      </c>
      <c r="B310" s="2" t="s">
        <v>3150</v>
      </c>
      <c r="C310" s="2" t="s">
        <v>710</v>
      </c>
      <c r="D310" s="2" t="s">
        <v>3151</v>
      </c>
      <c r="E310" s="2" t="s">
        <v>3382</v>
      </c>
      <c r="F310" s="4" t="s">
        <v>3114</v>
      </c>
    </row>
    <row r="311" spans="1:6" x14ac:dyDescent="0.3">
      <c r="A311" s="3" t="s">
        <v>2394</v>
      </c>
      <c r="B311" s="2" t="s">
        <v>3194</v>
      </c>
      <c r="C311" s="2" t="s">
        <v>712</v>
      </c>
      <c r="D311" s="2" t="s">
        <v>3155</v>
      </c>
      <c r="E311" s="2" t="s">
        <v>3523</v>
      </c>
      <c r="F311" s="4" t="s">
        <v>3118</v>
      </c>
    </row>
    <row r="312" spans="1:6" x14ac:dyDescent="0.3">
      <c r="A312" s="3" t="s">
        <v>2395</v>
      </c>
      <c r="B312" s="2" t="s">
        <v>3102</v>
      </c>
      <c r="C312" s="2" t="s">
        <v>714</v>
      </c>
      <c r="D312" s="2" t="s">
        <v>3103</v>
      </c>
      <c r="E312" s="2" t="s">
        <v>3524</v>
      </c>
      <c r="F312" s="4" t="s">
        <v>3121</v>
      </c>
    </row>
    <row r="313" spans="1:6" x14ac:dyDescent="0.3">
      <c r="A313" s="3" t="s">
        <v>2396</v>
      </c>
      <c r="B313" s="2" t="s">
        <v>3090</v>
      </c>
      <c r="C313" s="2" t="s">
        <v>716</v>
      </c>
      <c r="D313" s="2" t="s">
        <v>3091</v>
      </c>
      <c r="E313" s="2" t="s">
        <v>3525</v>
      </c>
      <c r="F313" s="4" t="s">
        <v>3125</v>
      </c>
    </row>
    <row r="314" spans="1:6" x14ac:dyDescent="0.3">
      <c r="A314" s="3" t="s">
        <v>2397</v>
      </c>
      <c r="B314" s="2" t="s">
        <v>3150</v>
      </c>
      <c r="C314" s="2" t="s">
        <v>718</v>
      </c>
      <c r="D314" s="2" t="s">
        <v>3151</v>
      </c>
      <c r="E314" s="2" t="s">
        <v>3526</v>
      </c>
      <c r="F314" s="4" t="s">
        <v>3127</v>
      </c>
    </row>
    <row r="315" spans="1:6" x14ac:dyDescent="0.3">
      <c r="A315" s="3" t="s">
        <v>2398</v>
      </c>
      <c r="B315" s="2" t="s">
        <v>3112</v>
      </c>
      <c r="C315" s="2" t="s">
        <v>720</v>
      </c>
      <c r="D315" s="2" t="s">
        <v>64</v>
      </c>
      <c r="E315" s="2" t="s">
        <v>3527</v>
      </c>
      <c r="F315" s="4" t="s">
        <v>3130</v>
      </c>
    </row>
    <row r="316" spans="1:6" x14ac:dyDescent="0.3">
      <c r="A316" s="3" t="s">
        <v>2399</v>
      </c>
      <c r="B316" s="2" t="s">
        <v>3093</v>
      </c>
      <c r="C316" s="2" t="s">
        <v>722</v>
      </c>
      <c r="D316" s="2" t="s">
        <v>3094</v>
      </c>
      <c r="E316" s="2" t="s">
        <v>3528</v>
      </c>
      <c r="F316" s="4" t="s">
        <v>3132</v>
      </c>
    </row>
    <row r="317" spans="1:6" x14ac:dyDescent="0.3">
      <c r="A317" s="3" t="s">
        <v>2400</v>
      </c>
      <c r="B317" s="2" t="s">
        <v>3122</v>
      </c>
      <c r="C317" s="2" t="s">
        <v>724</v>
      </c>
      <c r="D317" s="2" t="s">
        <v>3123</v>
      </c>
      <c r="E317" s="2" t="s">
        <v>3529</v>
      </c>
      <c r="F317" s="4" t="s">
        <v>3136</v>
      </c>
    </row>
    <row r="318" spans="1:6" x14ac:dyDescent="0.3">
      <c r="A318" s="3" t="s">
        <v>2401</v>
      </c>
      <c r="B318" s="2" t="s">
        <v>3102</v>
      </c>
      <c r="C318" s="2" t="s">
        <v>726</v>
      </c>
      <c r="D318" s="2" t="s">
        <v>3103</v>
      </c>
      <c r="E318" s="2" t="s">
        <v>3530</v>
      </c>
      <c r="F318" s="4" t="s">
        <v>3138</v>
      </c>
    </row>
    <row r="319" spans="1:6" x14ac:dyDescent="0.3">
      <c r="A319" s="3" t="s">
        <v>2402</v>
      </c>
      <c r="B319" s="2" t="s">
        <v>3093</v>
      </c>
      <c r="C319" s="2" t="s">
        <v>728</v>
      </c>
      <c r="D319" s="2" t="s">
        <v>3094</v>
      </c>
      <c r="E319" s="2" t="s">
        <v>3290</v>
      </c>
      <c r="F319" s="4" t="s">
        <v>3141</v>
      </c>
    </row>
    <row r="320" spans="1:6" x14ac:dyDescent="0.3">
      <c r="A320" s="3" t="s">
        <v>2403</v>
      </c>
      <c r="B320" s="2" t="s">
        <v>3164</v>
      </c>
      <c r="C320" s="2" t="s">
        <v>730</v>
      </c>
      <c r="D320" s="2" t="s">
        <v>3165</v>
      </c>
      <c r="E320" s="2" t="s">
        <v>3124</v>
      </c>
      <c r="F320" s="4" t="s">
        <v>3143</v>
      </c>
    </row>
    <row r="321" spans="1:6" x14ac:dyDescent="0.3">
      <c r="A321" s="3" t="s">
        <v>2404</v>
      </c>
      <c r="B321" s="2" t="s">
        <v>3122</v>
      </c>
      <c r="C321" s="2" t="s">
        <v>732</v>
      </c>
      <c r="D321" s="2" t="s">
        <v>3123</v>
      </c>
      <c r="E321" s="2" t="s">
        <v>3531</v>
      </c>
      <c r="F321" s="4" t="s">
        <v>3145</v>
      </c>
    </row>
    <row r="322" spans="1:6" x14ac:dyDescent="0.3">
      <c r="A322" s="3" t="s">
        <v>2405</v>
      </c>
      <c r="B322" s="2" t="s">
        <v>3154</v>
      </c>
      <c r="C322" s="2" t="s">
        <v>734</v>
      </c>
      <c r="D322" s="2" t="s">
        <v>3155</v>
      </c>
      <c r="E322" s="2" t="s">
        <v>3348</v>
      </c>
      <c r="F322" s="4" t="s">
        <v>3147</v>
      </c>
    </row>
    <row r="323" spans="1:6" x14ac:dyDescent="0.3">
      <c r="A323" s="3" t="s">
        <v>2406</v>
      </c>
      <c r="B323" s="2" t="s">
        <v>3168</v>
      </c>
      <c r="C323" s="2" t="s">
        <v>736</v>
      </c>
      <c r="D323" s="2" t="s">
        <v>3169</v>
      </c>
      <c r="E323" s="2" t="s">
        <v>3532</v>
      </c>
      <c r="F323" s="4" t="s">
        <v>3149</v>
      </c>
    </row>
    <row r="324" spans="1:6" x14ac:dyDescent="0.3">
      <c r="A324" s="3" t="s">
        <v>2407</v>
      </c>
      <c r="B324" s="2" t="s">
        <v>3150</v>
      </c>
      <c r="C324" s="2" t="s">
        <v>738</v>
      </c>
      <c r="D324" s="2" t="s">
        <v>3151</v>
      </c>
      <c r="E324" s="2" t="s">
        <v>3533</v>
      </c>
      <c r="F324" s="4" t="s">
        <v>3153</v>
      </c>
    </row>
    <row r="325" spans="1:6" x14ac:dyDescent="0.3">
      <c r="A325" s="3" t="s">
        <v>2408</v>
      </c>
      <c r="B325" s="2" t="s">
        <v>3139</v>
      </c>
      <c r="C325" s="2" t="s">
        <v>740</v>
      </c>
      <c r="D325" s="2" t="s">
        <v>3107</v>
      </c>
      <c r="E325" s="2" t="s">
        <v>3534</v>
      </c>
      <c r="F325" s="4" t="s">
        <v>3157</v>
      </c>
    </row>
    <row r="326" spans="1:6" x14ac:dyDescent="0.3">
      <c r="A326" s="3" t="s">
        <v>2409</v>
      </c>
      <c r="B326" s="2" t="s">
        <v>3133</v>
      </c>
      <c r="C326" s="2" t="s">
        <v>742</v>
      </c>
      <c r="D326" s="2" t="s">
        <v>3134</v>
      </c>
      <c r="E326" s="2" t="s">
        <v>3535</v>
      </c>
      <c r="F326" s="4" t="s">
        <v>3159</v>
      </c>
    </row>
    <row r="327" spans="1:6" x14ac:dyDescent="0.3">
      <c r="A327" s="3" t="s">
        <v>2410</v>
      </c>
      <c r="B327" s="2" t="s">
        <v>3229</v>
      </c>
      <c r="C327" s="2" t="s">
        <v>744</v>
      </c>
      <c r="D327" s="2" t="s">
        <v>3230</v>
      </c>
      <c r="E327" s="2" t="s">
        <v>3536</v>
      </c>
      <c r="F327" s="4" t="s">
        <v>3161</v>
      </c>
    </row>
    <row r="328" spans="1:6" x14ac:dyDescent="0.3">
      <c r="A328" s="3" t="s">
        <v>2411</v>
      </c>
      <c r="B328" s="2" t="s">
        <v>3122</v>
      </c>
      <c r="C328" s="2" t="s">
        <v>746</v>
      </c>
      <c r="D328" s="2" t="s">
        <v>3123</v>
      </c>
      <c r="E328" s="2" t="s">
        <v>3537</v>
      </c>
      <c r="F328" s="4" t="s">
        <v>3163</v>
      </c>
    </row>
    <row r="329" spans="1:6" x14ac:dyDescent="0.3">
      <c r="A329" s="3" t="s">
        <v>2412</v>
      </c>
      <c r="B329" s="2" t="s">
        <v>3213</v>
      </c>
      <c r="C329" s="2" t="s">
        <v>748</v>
      </c>
      <c r="D329" s="2" t="s">
        <v>3214</v>
      </c>
      <c r="E329" s="2" t="s">
        <v>3538</v>
      </c>
      <c r="F329" s="4" t="s">
        <v>3167</v>
      </c>
    </row>
    <row r="330" spans="1:6" x14ac:dyDescent="0.3">
      <c r="A330" s="3" t="s">
        <v>2413</v>
      </c>
      <c r="B330" s="2" t="s">
        <v>3122</v>
      </c>
      <c r="C330" s="2" t="s">
        <v>750</v>
      </c>
      <c r="D330" s="2" t="s">
        <v>3123</v>
      </c>
      <c r="E330" s="2" t="s">
        <v>3539</v>
      </c>
      <c r="F330" s="4" t="s">
        <v>3171</v>
      </c>
    </row>
    <row r="331" spans="1:6" x14ac:dyDescent="0.3">
      <c r="A331" s="3" t="s">
        <v>2414</v>
      </c>
      <c r="B331" s="2" t="s">
        <v>3085</v>
      </c>
      <c r="C331" s="2" t="s">
        <v>752</v>
      </c>
      <c r="D331" s="2" t="s">
        <v>3087</v>
      </c>
      <c r="E331" s="2" t="s">
        <v>3511</v>
      </c>
      <c r="F331" s="4" t="s">
        <v>3173</v>
      </c>
    </row>
    <row r="332" spans="1:6" x14ac:dyDescent="0.3">
      <c r="A332" s="3" t="s">
        <v>2415</v>
      </c>
      <c r="B332" s="2" t="s">
        <v>3112</v>
      </c>
      <c r="C332" s="2" t="s">
        <v>754</v>
      </c>
      <c r="D332" s="2" t="s">
        <v>64</v>
      </c>
      <c r="E332" s="2" t="s">
        <v>3540</v>
      </c>
      <c r="F332" s="4" t="s">
        <v>3175</v>
      </c>
    </row>
    <row r="333" spans="1:6" x14ac:dyDescent="0.3">
      <c r="A333" s="3" t="s">
        <v>2416</v>
      </c>
      <c r="B333" s="2" t="s">
        <v>3119</v>
      </c>
      <c r="C333" s="2" t="s">
        <v>756</v>
      </c>
      <c r="D333" s="2" t="s">
        <v>75</v>
      </c>
      <c r="E333" s="2" t="s">
        <v>3541</v>
      </c>
      <c r="F333" s="4" t="s">
        <v>3179</v>
      </c>
    </row>
    <row r="334" spans="1:6" x14ac:dyDescent="0.3">
      <c r="A334" s="3" t="s">
        <v>2417</v>
      </c>
      <c r="B334" s="2" t="s">
        <v>3112</v>
      </c>
      <c r="C334" s="2" t="s">
        <v>758</v>
      </c>
      <c r="D334" s="2" t="s">
        <v>64</v>
      </c>
      <c r="E334" s="2" t="s">
        <v>3351</v>
      </c>
      <c r="F334" s="4" t="s">
        <v>3183</v>
      </c>
    </row>
    <row r="335" spans="1:6" x14ac:dyDescent="0.3">
      <c r="A335" s="3" t="s">
        <v>2418</v>
      </c>
      <c r="B335" s="2" t="s">
        <v>3093</v>
      </c>
      <c r="C335" s="2" t="s">
        <v>760</v>
      </c>
      <c r="D335" s="2" t="s">
        <v>3094</v>
      </c>
      <c r="E335" s="2" t="s">
        <v>3542</v>
      </c>
      <c r="F335" s="4" t="s">
        <v>3185</v>
      </c>
    </row>
    <row r="336" spans="1:6" x14ac:dyDescent="0.3">
      <c r="A336" s="3" t="s">
        <v>2419</v>
      </c>
      <c r="B336" s="2" t="s">
        <v>3122</v>
      </c>
      <c r="C336" s="2" t="s">
        <v>762</v>
      </c>
      <c r="D336" s="2" t="s">
        <v>3123</v>
      </c>
      <c r="E336" s="2" t="s">
        <v>3543</v>
      </c>
      <c r="F336" s="4" t="s">
        <v>3187</v>
      </c>
    </row>
    <row r="337" spans="1:6" x14ac:dyDescent="0.3">
      <c r="A337" s="3" t="s">
        <v>2420</v>
      </c>
      <c r="B337" s="2" t="s">
        <v>3119</v>
      </c>
      <c r="C337" s="2" t="s">
        <v>764</v>
      </c>
      <c r="D337" s="2" t="s">
        <v>75</v>
      </c>
      <c r="E337" s="2" t="s">
        <v>3544</v>
      </c>
      <c r="F337" s="4" t="s">
        <v>3189</v>
      </c>
    </row>
    <row r="338" spans="1:6" x14ac:dyDescent="0.3">
      <c r="A338" s="3" t="s">
        <v>2421</v>
      </c>
      <c r="B338" s="2" t="s">
        <v>3112</v>
      </c>
      <c r="C338" s="2" t="s">
        <v>766</v>
      </c>
      <c r="D338" s="2" t="s">
        <v>64</v>
      </c>
      <c r="E338" s="2" t="s">
        <v>3545</v>
      </c>
      <c r="F338" s="4" t="s">
        <v>3191</v>
      </c>
    </row>
    <row r="339" spans="1:6" x14ac:dyDescent="0.3">
      <c r="A339" s="3" t="s">
        <v>2422</v>
      </c>
      <c r="B339" s="2" t="s">
        <v>3115</v>
      </c>
      <c r="C339" s="2" t="s">
        <v>768</v>
      </c>
      <c r="D339" s="2" t="s">
        <v>3116</v>
      </c>
      <c r="E339" s="2" t="s">
        <v>3546</v>
      </c>
      <c r="F339" s="4" t="s">
        <v>3193</v>
      </c>
    </row>
    <row r="340" spans="1:6" x14ac:dyDescent="0.3">
      <c r="A340" s="3" t="s">
        <v>2423</v>
      </c>
      <c r="B340" s="2" t="s">
        <v>3154</v>
      </c>
      <c r="C340" s="2" t="s">
        <v>770</v>
      </c>
      <c r="D340" s="2" t="s">
        <v>3155</v>
      </c>
      <c r="E340" s="2" t="s">
        <v>3547</v>
      </c>
      <c r="F340" s="4" t="s">
        <v>3196</v>
      </c>
    </row>
    <row r="341" spans="1:6" x14ac:dyDescent="0.3">
      <c r="A341" s="3" t="s">
        <v>2424</v>
      </c>
      <c r="B341" s="2" t="s">
        <v>3093</v>
      </c>
      <c r="C341" s="2" t="s">
        <v>772</v>
      </c>
      <c r="D341" s="2" t="s">
        <v>3094</v>
      </c>
      <c r="E341" s="2" t="s">
        <v>3548</v>
      </c>
      <c r="F341" s="4" t="s">
        <v>3198</v>
      </c>
    </row>
    <row r="342" spans="1:6" x14ac:dyDescent="0.3">
      <c r="A342" s="3" t="s">
        <v>2425</v>
      </c>
      <c r="B342" s="2" t="s">
        <v>3168</v>
      </c>
      <c r="C342" s="2" t="s">
        <v>774</v>
      </c>
      <c r="D342" s="2" t="s">
        <v>3169</v>
      </c>
      <c r="E342" s="2" t="s">
        <v>3549</v>
      </c>
      <c r="F342" s="4" t="s">
        <v>3200</v>
      </c>
    </row>
    <row r="343" spans="1:6" x14ac:dyDescent="0.3">
      <c r="A343" s="3" t="s">
        <v>2426</v>
      </c>
      <c r="B343" s="2" t="s">
        <v>3085</v>
      </c>
      <c r="C343" s="2" t="s">
        <v>776</v>
      </c>
      <c r="D343" s="2" t="s">
        <v>3087</v>
      </c>
      <c r="E343" s="2" t="s">
        <v>3550</v>
      </c>
      <c r="F343" s="4" t="s">
        <v>3202</v>
      </c>
    </row>
    <row r="344" spans="1:6" x14ac:dyDescent="0.3">
      <c r="A344" s="3" t="s">
        <v>2427</v>
      </c>
      <c r="B344" s="2" t="s">
        <v>3085</v>
      </c>
      <c r="C344" s="2" t="s">
        <v>778</v>
      </c>
      <c r="D344" s="2" t="s">
        <v>3087</v>
      </c>
      <c r="E344" s="2" t="s">
        <v>3551</v>
      </c>
      <c r="F344" s="4" t="s">
        <v>3204</v>
      </c>
    </row>
    <row r="345" spans="1:6" x14ac:dyDescent="0.3">
      <c r="A345" s="3" t="s">
        <v>2428</v>
      </c>
      <c r="B345" s="2" t="s">
        <v>3102</v>
      </c>
      <c r="C345" s="2" t="s">
        <v>780</v>
      </c>
      <c r="D345" s="2" t="s">
        <v>3103</v>
      </c>
      <c r="E345" s="2" t="s">
        <v>3552</v>
      </c>
      <c r="F345" s="4" t="s">
        <v>3206</v>
      </c>
    </row>
    <row r="346" spans="1:6" x14ac:dyDescent="0.3">
      <c r="A346" s="3" t="s">
        <v>2429</v>
      </c>
      <c r="B346" s="2" t="s">
        <v>3090</v>
      </c>
      <c r="C346" s="2" t="s">
        <v>782</v>
      </c>
      <c r="D346" s="2" t="s">
        <v>3091</v>
      </c>
      <c r="E346" s="2" t="s">
        <v>3553</v>
      </c>
      <c r="F346" s="4" t="s">
        <v>3208</v>
      </c>
    </row>
    <row r="347" spans="1:6" x14ac:dyDescent="0.3">
      <c r="A347" s="3" t="s">
        <v>2430</v>
      </c>
      <c r="B347" s="2" t="s">
        <v>3115</v>
      </c>
      <c r="C347" s="2" t="s">
        <v>784</v>
      </c>
      <c r="D347" s="2" t="s">
        <v>3116</v>
      </c>
      <c r="E347" s="2" t="s">
        <v>3554</v>
      </c>
      <c r="F347" s="4" t="s">
        <v>3210</v>
      </c>
    </row>
    <row r="348" spans="1:6" x14ac:dyDescent="0.3">
      <c r="A348" s="3" t="s">
        <v>2431</v>
      </c>
      <c r="B348" s="2" t="s">
        <v>3176</v>
      </c>
      <c r="C348" s="2" t="s">
        <v>786</v>
      </c>
      <c r="D348" s="2" t="s">
        <v>3177</v>
      </c>
      <c r="E348" s="2" t="s">
        <v>3555</v>
      </c>
      <c r="F348" s="4" t="s">
        <v>3212</v>
      </c>
    </row>
    <row r="349" spans="1:6" x14ac:dyDescent="0.3">
      <c r="A349" s="3" t="s">
        <v>2432</v>
      </c>
      <c r="B349" s="2" t="s">
        <v>3090</v>
      </c>
      <c r="C349" s="2" t="s">
        <v>788</v>
      </c>
      <c r="D349" s="2" t="s">
        <v>3091</v>
      </c>
      <c r="E349" s="2" t="s">
        <v>3511</v>
      </c>
      <c r="F349" s="4" t="s">
        <v>3216</v>
      </c>
    </row>
    <row r="350" spans="1:6" x14ac:dyDescent="0.3">
      <c r="A350" s="3" t="s">
        <v>2433</v>
      </c>
      <c r="B350" s="2" t="s">
        <v>3085</v>
      </c>
      <c r="C350" s="2" t="s">
        <v>790</v>
      </c>
      <c r="D350" s="2" t="s">
        <v>3087</v>
      </c>
      <c r="E350" s="2" t="s">
        <v>3556</v>
      </c>
      <c r="F350" s="4" t="s">
        <v>3220</v>
      </c>
    </row>
    <row r="351" spans="1:6" x14ac:dyDescent="0.3">
      <c r="A351" s="3" t="s">
        <v>2434</v>
      </c>
      <c r="B351" s="2" t="s">
        <v>3150</v>
      </c>
      <c r="C351" s="2" t="s">
        <v>792</v>
      </c>
      <c r="D351" s="2" t="s">
        <v>3151</v>
      </c>
      <c r="E351" s="2" t="s">
        <v>3557</v>
      </c>
      <c r="F351" s="4" t="s">
        <v>3222</v>
      </c>
    </row>
    <row r="352" spans="1:6" x14ac:dyDescent="0.3">
      <c r="A352" s="3" t="s">
        <v>2435</v>
      </c>
      <c r="B352" s="2" t="s">
        <v>3112</v>
      </c>
      <c r="C352" s="2" t="s">
        <v>794</v>
      </c>
      <c r="D352" s="2" t="s">
        <v>64</v>
      </c>
      <c r="E352" s="2" t="s">
        <v>3558</v>
      </c>
      <c r="F352" s="4" t="s">
        <v>3224</v>
      </c>
    </row>
    <row r="353" spans="1:6" x14ac:dyDescent="0.3">
      <c r="A353" s="3" t="s">
        <v>2436</v>
      </c>
      <c r="B353" s="2" t="s">
        <v>3102</v>
      </c>
      <c r="C353" s="2" t="s">
        <v>796</v>
      </c>
      <c r="D353" s="2" t="s">
        <v>3103</v>
      </c>
      <c r="E353" s="2" t="s">
        <v>3184</v>
      </c>
      <c r="F353" s="4" t="s">
        <v>3226</v>
      </c>
    </row>
    <row r="354" spans="1:6" x14ac:dyDescent="0.3">
      <c r="A354" s="3" t="s">
        <v>2437</v>
      </c>
      <c r="B354" s="2" t="s">
        <v>3168</v>
      </c>
      <c r="C354" s="2" t="s">
        <v>798</v>
      </c>
      <c r="D354" s="2" t="s">
        <v>3169</v>
      </c>
      <c r="E354" s="2" t="s">
        <v>3559</v>
      </c>
      <c r="F354" s="4" t="s">
        <v>3228</v>
      </c>
    </row>
    <row r="355" spans="1:6" x14ac:dyDescent="0.3">
      <c r="A355" s="3" t="s">
        <v>2438</v>
      </c>
      <c r="B355" s="2" t="s">
        <v>3085</v>
      </c>
      <c r="C355" s="2" t="s">
        <v>800</v>
      </c>
      <c r="D355" s="2" t="s">
        <v>3087</v>
      </c>
      <c r="E355" s="2" t="s">
        <v>3560</v>
      </c>
      <c r="F355" s="4" t="s">
        <v>3232</v>
      </c>
    </row>
    <row r="356" spans="1:6" x14ac:dyDescent="0.3">
      <c r="A356" s="3" t="s">
        <v>2439</v>
      </c>
      <c r="B356" s="2" t="s">
        <v>3133</v>
      </c>
      <c r="C356" s="2" t="s">
        <v>802</v>
      </c>
      <c r="D356" s="2" t="s">
        <v>3134</v>
      </c>
      <c r="E356" s="2" t="s">
        <v>3561</v>
      </c>
      <c r="F356" s="4" t="s">
        <v>3233</v>
      </c>
    </row>
    <row r="357" spans="1:6" x14ac:dyDescent="0.3">
      <c r="A357" s="3" t="s">
        <v>2440</v>
      </c>
      <c r="B357" s="2" t="s">
        <v>3122</v>
      </c>
      <c r="C357" s="2" t="s">
        <v>804</v>
      </c>
      <c r="D357" s="2" t="s">
        <v>3123</v>
      </c>
      <c r="E357" s="2" t="s">
        <v>3562</v>
      </c>
      <c r="F357" s="4" t="s">
        <v>3235</v>
      </c>
    </row>
    <row r="358" spans="1:6" x14ac:dyDescent="0.3">
      <c r="A358" s="3" t="s">
        <v>2441</v>
      </c>
      <c r="B358" s="2" t="s">
        <v>3154</v>
      </c>
      <c r="C358" s="2" t="s">
        <v>806</v>
      </c>
      <c r="D358" s="2" t="s">
        <v>3155</v>
      </c>
      <c r="E358" s="2" t="s">
        <v>3391</v>
      </c>
      <c r="F358" s="4" t="s">
        <v>3237</v>
      </c>
    </row>
    <row r="359" spans="1:6" x14ac:dyDescent="0.3">
      <c r="A359" s="3" t="s">
        <v>2442</v>
      </c>
      <c r="B359" s="2" t="s">
        <v>3139</v>
      </c>
      <c r="C359" s="2" t="s">
        <v>808</v>
      </c>
      <c r="D359" s="2" t="s">
        <v>3107</v>
      </c>
      <c r="E359" s="2" t="s">
        <v>3563</v>
      </c>
      <c r="F359" s="4" t="s">
        <v>3239</v>
      </c>
    </row>
    <row r="360" spans="1:6" x14ac:dyDescent="0.3">
      <c r="A360" s="3" t="s">
        <v>2443</v>
      </c>
      <c r="B360" s="2" t="s">
        <v>3213</v>
      </c>
      <c r="C360" s="2" t="s">
        <v>810</v>
      </c>
      <c r="D360" s="2" t="s">
        <v>3214</v>
      </c>
      <c r="E360" s="2" t="s">
        <v>3564</v>
      </c>
      <c r="F360" s="4" t="s">
        <v>3241</v>
      </c>
    </row>
    <row r="361" spans="1:6" x14ac:dyDescent="0.3">
      <c r="A361" s="3" t="s">
        <v>2444</v>
      </c>
      <c r="B361" s="2" t="s">
        <v>3139</v>
      </c>
      <c r="C361" s="2" t="s">
        <v>812</v>
      </c>
      <c r="D361" s="2" t="s">
        <v>3107</v>
      </c>
      <c r="E361" s="2" t="s">
        <v>3565</v>
      </c>
      <c r="F361" s="4" t="s">
        <v>3243</v>
      </c>
    </row>
    <row r="362" spans="1:6" x14ac:dyDescent="0.3">
      <c r="A362" s="3" t="s">
        <v>2445</v>
      </c>
      <c r="B362" s="2" t="s">
        <v>3102</v>
      </c>
      <c r="C362" s="2" t="s">
        <v>814</v>
      </c>
      <c r="D362" s="2" t="s">
        <v>3103</v>
      </c>
      <c r="E362" s="2" t="s">
        <v>3348</v>
      </c>
      <c r="F362" s="4" t="s">
        <v>3245</v>
      </c>
    </row>
    <row r="363" spans="1:6" x14ac:dyDescent="0.3">
      <c r="A363" s="3" t="s">
        <v>2446</v>
      </c>
      <c r="B363" s="2" t="s">
        <v>3133</v>
      </c>
      <c r="C363" s="2" t="s">
        <v>816</v>
      </c>
      <c r="D363" s="2" t="s">
        <v>3134</v>
      </c>
      <c r="E363" s="2" t="s">
        <v>3566</v>
      </c>
      <c r="F363" s="4" t="s">
        <v>3247</v>
      </c>
    </row>
    <row r="364" spans="1:6" x14ac:dyDescent="0.3">
      <c r="A364" s="3" t="s">
        <v>2447</v>
      </c>
      <c r="B364" s="2" t="s">
        <v>3122</v>
      </c>
      <c r="C364" s="2" t="s">
        <v>818</v>
      </c>
      <c r="D364" s="2" t="s">
        <v>3123</v>
      </c>
      <c r="E364" s="2" t="s">
        <v>3567</v>
      </c>
      <c r="F364" s="4" t="s">
        <v>3249</v>
      </c>
    </row>
    <row r="365" spans="1:6" x14ac:dyDescent="0.3">
      <c r="A365" s="3" t="s">
        <v>2448</v>
      </c>
      <c r="B365" s="2" t="s">
        <v>3168</v>
      </c>
      <c r="C365" s="2" t="s">
        <v>820</v>
      </c>
      <c r="D365" s="2" t="s">
        <v>3169</v>
      </c>
      <c r="E365" s="2" t="s">
        <v>3529</v>
      </c>
      <c r="F365" s="4" t="s">
        <v>3251</v>
      </c>
    </row>
    <row r="366" spans="1:6" x14ac:dyDescent="0.3">
      <c r="A366" s="3" t="s">
        <v>2449</v>
      </c>
      <c r="B366" s="2" t="s">
        <v>3090</v>
      </c>
      <c r="C366" s="2" t="s">
        <v>822</v>
      </c>
      <c r="D366" s="2" t="s">
        <v>3091</v>
      </c>
      <c r="E366" s="2" t="s">
        <v>3568</v>
      </c>
      <c r="F366" s="4" t="s">
        <v>3253</v>
      </c>
    </row>
    <row r="367" spans="1:6" x14ac:dyDescent="0.3">
      <c r="A367" s="3" t="s">
        <v>2450</v>
      </c>
      <c r="B367" s="2" t="s">
        <v>3154</v>
      </c>
      <c r="C367" s="2" t="s">
        <v>824</v>
      </c>
      <c r="D367" s="2" t="s">
        <v>3155</v>
      </c>
      <c r="E367" s="2" t="s">
        <v>3569</v>
      </c>
      <c r="F367" s="4" t="s">
        <v>3255</v>
      </c>
    </row>
    <row r="368" spans="1:6" x14ac:dyDescent="0.3">
      <c r="A368" s="3" t="s">
        <v>2451</v>
      </c>
      <c r="B368" s="2" t="s">
        <v>3213</v>
      </c>
      <c r="C368" s="2" t="s">
        <v>826</v>
      </c>
      <c r="D368" s="2" t="s">
        <v>3214</v>
      </c>
      <c r="E368" s="2" t="s">
        <v>3570</v>
      </c>
      <c r="F368" s="4" t="s">
        <v>3257</v>
      </c>
    </row>
    <row r="369" spans="1:6" x14ac:dyDescent="0.3">
      <c r="A369" s="3" t="s">
        <v>2452</v>
      </c>
      <c r="B369" s="2" t="s">
        <v>3133</v>
      </c>
      <c r="C369" s="2" t="s">
        <v>828</v>
      </c>
      <c r="D369" s="2" t="s">
        <v>3134</v>
      </c>
      <c r="E369" s="2" t="s">
        <v>3571</v>
      </c>
      <c r="F369" s="4" t="s">
        <v>3259</v>
      </c>
    </row>
    <row r="370" spans="1:6" x14ac:dyDescent="0.3">
      <c r="A370" s="3" t="s">
        <v>2453</v>
      </c>
      <c r="B370" s="2" t="s">
        <v>3154</v>
      </c>
      <c r="C370" s="2" t="s">
        <v>830</v>
      </c>
      <c r="D370" s="2" t="s">
        <v>3155</v>
      </c>
      <c r="E370" s="2" t="s">
        <v>3572</v>
      </c>
      <c r="F370" s="4" t="s">
        <v>3261</v>
      </c>
    </row>
    <row r="371" spans="1:6" x14ac:dyDescent="0.3">
      <c r="A371" s="3" t="s">
        <v>2454</v>
      </c>
      <c r="B371" s="2" t="s">
        <v>3150</v>
      </c>
      <c r="C371" s="2" t="s">
        <v>832</v>
      </c>
      <c r="D371" s="2" t="s">
        <v>3151</v>
      </c>
      <c r="E371" s="2" t="s">
        <v>3573</v>
      </c>
      <c r="F371" s="4" t="s">
        <v>3263</v>
      </c>
    </row>
    <row r="372" spans="1:6" x14ac:dyDescent="0.3">
      <c r="A372" s="3" t="s">
        <v>2455</v>
      </c>
      <c r="B372" s="2" t="s">
        <v>3085</v>
      </c>
      <c r="C372" s="2" t="s">
        <v>834</v>
      </c>
      <c r="D372" s="2" t="s">
        <v>3087</v>
      </c>
      <c r="E372" s="2" t="s">
        <v>3332</v>
      </c>
      <c r="F372" s="4" t="s">
        <v>3265</v>
      </c>
    </row>
    <row r="373" spans="1:6" x14ac:dyDescent="0.3">
      <c r="A373" s="3" t="s">
        <v>2456</v>
      </c>
      <c r="B373" s="2" t="s">
        <v>3217</v>
      </c>
      <c r="C373" s="2" t="s">
        <v>836</v>
      </c>
      <c r="D373" s="2" t="s">
        <v>3218</v>
      </c>
      <c r="E373" s="2" t="s">
        <v>3574</v>
      </c>
      <c r="F373" s="4" t="s">
        <v>3267</v>
      </c>
    </row>
    <row r="374" spans="1:6" x14ac:dyDescent="0.3">
      <c r="A374" s="3" t="s">
        <v>2457</v>
      </c>
      <c r="B374" s="2" t="s">
        <v>3139</v>
      </c>
      <c r="C374" s="2" t="s">
        <v>838</v>
      </c>
      <c r="D374" s="2" t="s">
        <v>3107</v>
      </c>
      <c r="E374" s="2" t="s">
        <v>3575</v>
      </c>
      <c r="F374" s="4" t="s">
        <v>3269</v>
      </c>
    </row>
    <row r="375" spans="1:6" x14ac:dyDescent="0.3">
      <c r="A375" s="3" t="s">
        <v>2458</v>
      </c>
      <c r="B375" s="2" t="s">
        <v>3102</v>
      </c>
      <c r="C375" s="2" t="s">
        <v>840</v>
      </c>
      <c r="D375" s="2" t="s">
        <v>3103</v>
      </c>
      <c r="E375" s="2" t="s">
        <v>3576</v>
      </c>
      <c r="F375" s="4" t="s">
        <v>3271</v>
      </c>
    </row>
    <row r="376" spans="1:6" x14ac:dyDescent="0.3">
      <c r="A376" s="3" t="s">
        <v>2459</v>
      </c>
      <c r="B376" s="2" t="s">
        <v>3122</v>
      </c>
      <c r="C376" s="2" t="s">
        <v>842</v>
      </c>
      <c r="D376" s="2" t="s">
        <v>3123</v>
      </c>
      <c r="E376" s="2" t="s">
        <v>3577</v>
      </c>
      <c r="F376" s="4" t="s">
        <v>3273</v>
      </c>
    </row>
    <row r="377" spans="1:6" x14ac:dyDescent="0.3">
      <c r="A377" s="3" t="s">
        <v>2460</v>
      </c>
      <c r="B377" s="2" t="s">
        <v>3093</v>
      </c>
      <c r="C377" s="2" t="s">
        <v>844</v>
      </c>
      <c r="D377" s="2" t="s">
        <v>3094</v>
      </c>
      <c r="E377" s="2" t="s">
        <v>3578</v>
      </c>
      <c r="F377" s="4" t="s">
        <v>3275</v>
      </c>
    </row>
    <row r="378" spans="1:6" x14ac:dyDescent="0.3">
      <c r="A378" s="3" t="s">
        <v>2461</v>
      </c>
      <c r="B378" s="2" t="s">
        <v>3090</v>
      </c>
      <c r="C378" s="2" t="s">
        <v>846</v>
      </c>
      <c r="D378" s="2" t="s">
        <v>3091</v>
      </c>
      <c r="E378" s="2" t="s">
        <v>3579</v>
      </c>
      <c r="F378" s="4" t="s">
        <v>3277</v>
      </c>
    </row>
    <row r="379" spans="1:6" x14ac:dyDescent="0.3">
      <c r="A379" s="3" t="s">
        <v>2462</v>
      </c>
      <c r="B379" s="2" t="s">
        <v>3093</v>
      </c>
      <c r="C379" s="2" t="s">
        <v>848</v>
      </c>
      <c r="D379" s="2" t="s">
        <v>3094</v>
      </c>
      <c r="E379" s="2" t="s">
        <v>3517</v>
      </c>
      <c r="F379" s="4" t="s">
        <v>3279</v>
      </c>
    </row>
    <row r="380" spans="1:6" x14ac:dyDescent="0.3">
      <c r="A380" s="3" t="s">
        <v>2463</v>
      </c>
      <c r="B380" s="2" t="s">
        <v>3168</v>
      </c>
      <c r="C380" s="2" t="s">
        <v>850</v>
      </c>
      <c r="D380" s="2" t="s">
        <v>3169</v>
      </c>
      <c r="E380" s="2" t="s">
        <v>3580</v>
      </c>
      <c r="F380" s="4" t="s">
        <v>3281</v>
      </c>
    </row>
    <row r="381" spans="1:6" x14ac:dyDescent="0.3">
      <c r="A381" s="3" t="s">
        <v>2464</v>
      </c>
      <c r="B381" s="2" t="s">
        <v>3194</v>
      </c>
      <c r="C381" s="2" t="s">
        <v>852</v>
      </c>
      <c r="D381" s="2" t="s">
        <v>3155</v>
      </c>
      <c r="E381" s="2" t="s">
        <v>3581</v>
      </c>
      <c r="F381" s="4" t="s">
        <v>3283</v>
      </c>
    </row>
    <row r="382" spans="1:6" x14ac:dyDescent="0.3">
      <c r="A382" s="3" t="s">
        <v>2465</v>
      </c>
      <c r="B382" s="2" t="s">
        <v>3085</v>
      </c>
      <c r="C382" s="2" t="s">
        <v>854</v>
      </c>
      <c r="D382" s="2" t="s">
        <v>3087</v>
      </c>
      <c r="E382" s="2" t="s">
        <v>3582</v>
      </c>
      <c r="F382" s="4" t="s">
        <v>3285</v>
      </c>
    </row>
    <row r="383" spans="1:6" x14ac:dyDescent="0.3">
      <c r="A383" s="3" t="s">
        <v>2466</v>
      </c>
      <c r="B383" s="2" t="s">
        <v>3229</v>
      </c>
      <c r="C383" s="2" t="s">
        <v>856</v>
      </c>
      <c r="D383" s="2" t="s">
        <v>3230</v>
      </c>
      <c r="E383" s="2" t="s">
        <v>3583</v>
      </c>
      <c r="F383" s="4" t="s">
        <v>3287</v>
      </c>
    </row>
    <row r="384" spans="1:6" x14ac:dyDescent="0.3">
      <c r="A384" s="3" t="s">
        <v>2467</v>
      </c>
      <c r="B384" s="2" t="s">
        <v>3180</v>
      </c>
      <c r="C384" s="2" t="s">
        <v>858</v>
      </c>
      <c r="D384" s="2" t="s">
        <v>3181</v>
      </c>
      <c r="E384" s="2" t="s">
        <v>3584</v>
      </c>
      <c r="F384" s="4" t="s">
        <v>3289</v>
      </c>
    </row>
    <row r="385" spans="1:6" x14ac:dyDescent="0.3">
      <c r="A385" s="3" t="s">
        <v>2468</v>
      </c>
      <c r="B385" s="2" t="s">
        <v>3119</v>
      </c>
      <c r="C385" s="2" t="s">
        <v>860</v>
      </c>
      <c r="D385" s="2" t="s">
        <v>75</v>
      </c>
      <c r="E385" s="2" t="s">
        <v>3585</v>
      </c>
      <c r="F385" s="4" t="s">
        <v>3291</v>
      </c>
    </row>
    <row r="386" spans="1:6" x14ac:dyDescent="0.3">
      <c r="A386" s="3" t="s">
        <v>2469</v>
      </c>
      <c r="B386" s="2" t="s">
        <v>3217</v>
      </c>
      <c r="C386" s="2" t="s">
        <v>862</v>
      </c>
      <c r="D386" s="2" t="s">
        <v>3218</v>
      </c>
      <c r="E386" s="2" t="s">
        <v>3586</v>
      </c>
      <c r="F386" s="4" t="s">
        <v>3293</v>
      </c>
    </row>
    <row r="387" spans="1:6" x14ac:dyDescent="0.3">
      <c r="A387" s="3" t="s">
        <v>2470</v>
      </c>
      <c r="B387" s="2" t="s">
        <v>3180</v>
      </c>
      <c r="C387" s="2" t="s">
        <v>864</v>
      </c>
      <c r="D387" s="2" t="s">
        <v>3181</v>
      </c>
      <c r="E387" s="2" t="s">
        <v>3587</v>
      </c>
      <c r="F387" s="4" t="s">
        <v>3295</v>
      </c>
    </row>
    <row r="388" spans="1:6" x14ac:dyDescent="0.3">
      <c r="A388" s="3" t="s">
        <v>2471</v>
      </c>
      <c r="B388" s="2" t="s">
        <v>3102</v>
      </c>
      <c r="C388" s="2" t="s">
        <v>866</v>
      </c>
      <c r="D388" s="2" t="s">
        <v>3103</v>
      </c>
      <c r="E388" s="2" t="s">
        <v>3517</v>
      </c>
      <c r="F388" s="4" t="s">
        <v>3297</v>
      </c>
    </row>
    <row r="389" spans="1:6" x14ac:dyDescent="0.3">
      <c r="A389" s="3" t="s">
        <v>2472</v>
      </c>
      <c r="B389" s="2" t="s">
        <v>3168</v>
      </c>
      <c r="C389" s="2" t="s">
        <v>868</v>
      </c>
      <c r="D389" s="2" t="s">
        <v>3169</v>
      </c>
      <c r="E389" s="2" t="s">
        <v>3588</v>
      </c>
      <c r="F389" s="4" t="s">
        <v>3299</v>
      </c>
    </row>
    <row r="390" spans="1:6" x14ac:dyDescent="0.3">
      <c r="A390" s="3" t="s">
        <v>2473</v>
      </c>
      <c r="B390" s="2" t="s">
        <v>3180</v>
      </c>
      <c r="C390" s="2" t="s">
        <v>870</v>
      </c>
      <c r="D390" s="2" t="s">
        <v>3181</v>
      </c>
      <c r="E390" s="2" t="s">
        <v>3589</v>
      </c>
      <c r="F390" s="4" t="s">
        <v>3301</v>
      </c>
    </row>
    <row r="391" spans="1:6" x14ac:dyDescent="0.3">
      <c r="A391" s="3" t="s">
        <v>2474</v>
      </c>
      <c r="B391" s="2" t="s">
        <v>3213</v>
      </c>
      <c r="C391" s="2" t="s">
        <v>872</v>
      </c>
      <c r="D391" s="2" t="s">
        <v>3214</v>
      </c>
      <c r="E391" s="2" t="s">
        <v>3348</v>
      </c>
      <c r="F391" s="4" t="s">
        <v>3303</v>
      </c>
    </row>
    <row r="392" spans="1:6" x14ac:dyDescent="0.3">
      <c r="A392" s="3" t="s">
        <v>2475</v>
      </c>
      <c r="B392" s="2" t="s">
        <v>3194</v>
      </c>
      <c r="C392" s="2" t="s">
        <v>874</v>
      </c>
      <c r="D392" s="2" t="s">
        <v>3155</v>
      </c>
      <c r="E392" s="2" t="s">
        <v>3590</v>
      </c>
      <c r="F392" s="4" t="s">
        <v>3305</v>
      </c>
    </row>
    <row r="393" spans="1:6" x14ac:dyDescent="0.3">
      <c r="A393" s="3" t="s">
        <v>2476</v>
      </c>
      <c r="B393" s="2" t="s">
        <v>3194</v>
      </c>
      <c r="C393" s="2" t="s">
        <v>876</v>
      </c>
      <c r="D393" s="2" t="s">
        <v>3155</v>
      </c>
      <c r="E393" s="2" t="s">
        <v>3591</v>
      </c>
      <c r="F393" s="4" t="s">
        <v>3307</v>
      </c>
    </row>
    <row r="394" spans="1:6" x14ac:dyDescent="0.3">
      <c r="A394" s="3" t="s">
        <v>2477</v>
      </c>
      <c r="B394" s="2" t="s">
        <v>3085</v>
      </c>
      <c r="C394" s="2" t="s">
        <v>878</v>
      </c>
      <c r="D394" s="2" t="s">
        <v>3087</v>
      </c>
      <c r="E394" s="2" t="s">
        <v>3592</v>
      </c>
      <c r="F394" s="4" t="s">
        <v>3309</v>
      </c>
    </row>
    <row r="395" spans="1:6" x14ac:dyDescent="0.3">
      <c r="A395" s="3" t="s">
        <v>2478</v>
      </c>
      <c r="B395" s="2" t="s">
        <v>3093</v>
      </c>
      <c r="C395" s="2" t="s">
        <v>880</v>
      </c>
      <c r="D395" s="2" t="s">
        <v>3094</v>
      </c>
      <c r="E395" s="2" t="s">
        <v>3333</v>
      </c>
      <c r="F395" s="4" t="s">
        <v>3311</v>
      </c>
    </row>
    <row r="396" spans="1:6" x14ac:dyDescent="0.3">
      <c r="A396" s="3" t="s">
        <v>2479</v>
      </c>
      <c r="B396" s="2" t="s">
        <v>3180</v>
      </c>
      <c r="C396" s="2" t="s">
        <v>882</v>
      </c>
      <c r="D396" s="2" t="s">
        <v>3181</v>
      </c>
      <c r="E396" s="2" t="s">
        <v>3593</v>
      </c>
      <c r="F396" s="4" t="s">
        <v>3313</v>
      </c>
    </row>
    <row r="397" spans="1:6" x14ac:dyDescent="0.3">
      <c r="A397" s="3" t="s">
        <v>2480</v>
      </c>
      <c r="B397" s="2" t="s">
        <v>3164</v>
      </c>
      <c r="C397" s="2" t="s">
        <v>3594</v>
      </c>
      <c r="D397" s="2" t="s">
        <v>3165</v>
      </c>
      <c r="E397" s="2" t="s">
        <v>3595</v>
      </c>
      <c r="F397" s="4" t="s">
        <v>3315</v>
      </c>
    </row>
    <row r="398" spans="1:6" x14ac:dyDescent="0.3">
      <c r="A398" s="3" t="s">
        <v>2481</v>
      </c>
      <c r="B398" s="2" t="s">
        <v>3122</v>
      </c>
      <c r="C398" s="2" t="s">
        <v>886</v>
      </c>
      <c r="D398" s="2" t="s">
        <v>3123</v>
      </c>
      <c r="E398" s="2" t="s">
        <v>3596</v>
      </c>
      <c r="F398" s="4" t="s">
        <v>3317</v>
      </c>
    </row>
    <row r="399" spans="1:6" x14ac:dyDescent="0.3">
      <c r="A399" s="3" t="s">
        <v>2482</v>
      </c>
      <c r="B399" s="2" t="s">
        <v>3102</v>
      </c>
      <c r="C399" s="2" t="s">
        <v>888</v>
      </c>
      <c r="D399" s="2" t="s">
        <v>3103</v>
      </c>
      <c r="E399" s="2" t="s">
        <v>3597</v>
      </c>
      <c r="F399" s="4" t="s">
        <v>3319</v>
      </c>
    </row>
    <row r="400" spans="1:6" x14ac:dyDescent="0.3">
      <c r="A400" s="3" t="s">
        <v>2483</v>
      </c>
      <c r="B400" s="2" t="s">
        <v>3154</v>
      </c>
      <c r="C400" s="2" t="s">
        <v>890</v>
      </c>
      <c r="D400" s="2" t="s">
        <v>3155</v>
      </c>
      <c r="E400" s="2" t="s">
        <v>3598</v>
      </c>
      <c r="F400" s="4" t="s">
        <v>3321</v>
      </c>
    </row>
    <row r="401" spans="1:6" x14ac:dyDescent="0.3">
      <c r="A401" s="3" t="s">
        <v>2484</v>
      </c>
      <c r="B401" s="2" t="s">
        <v>3112</v>
      </c>
      <c r="C401" s="2" t="s">
        <v>892</v>
      </c>
      <c r="D401" s="2" t="s">
        <v>64</v>
      </c>
      <c r="E401" s="2" t="s">
        <v>3599</v>
      </c>
      <c r="F401" s="4" t="s">
        <v>3323</v>
      </c>
    </row>
    <row r="402" spans="1:6" x14ac:dyDescent="0.3">
      <c r="A402" s="3" t="s">
        <v>2485</v>
      </c>
      <c r="B402" s="2" t="s">
        <v>3164</v>
      </c>
      <c r="C402" s="2" t="s">
        <v>894</v>
      </c>
      <c r="D402" s="2" t="s">
        <v>3165</v>
      </c>
      <c r="E402" s="2" t="s">
        <v>3600</v>
      </c>
      <c r="F402" s="4" t="s">
        <v>3325</v>
      </c>
    </row>
    <row r="403" spans="1:6" x14ac:dyDescent="0.3">
      <c r="A403" s="3" t="s">
        <v>2486</v>
      </c>
      <c r="B403" s="2" t="s">
        <v>3115</v>
      </c>
      <c r="C403" s="2" t="s">
        <v>896</v>
      </c>
      <c r="D403" s="2" t="s">
        <v>3116</v>
      </c>
      <c r="E403" s="2" t="s">
        <v>3601</v>
      </c>
      <c r="F403" s="4" t="s">
        <v>3089</v>
      </c>
    </row>
    <row r="404" spans="1:6" x14ac:dyDescent="0.3">
      <c r="A404" s="3" t="s">
        <v>2487</v>
      </c>
      <c r="B404" s="2" t="s">
        <v>3093</v>
      </c>
      <c r="C404" s="2" t="s">
        <v>898</v>
      </c>
      <c r="D404" s="2" t="s">
        <v>3094</v>
      </c>
      <c r="E404" s="2" t="s">
        <v>3602</v>
      </c>
      <c r="F404" s="4" t="s">
        <v>3096</v>
      </c>
    </row>
    <row r="405" spans="1:6" x14ac:dyDescent="0.3">
      <c r="A405" s="3" t="s">
        <v>2488</v>
      </c>
      <c r="B405" s="2" t="s">
        <v>3090</v>
      </c>
      <c r="C405" s="2" t="s">
        <v>900</v>
      </c>
      <c r="D405" s="2" t="s">
        <v>3091</v>
      </c>
      <c r="E405" s="2" t="s">
        <v>3603</v>
      </c>
      <c r="F405" s="4" t="s">
        <v>3098</v>
      </c>
    </row>
    <row r="406" spans="1:6" x14ac:dyDescent="0.3">
      <c r="A406" s="3" t="s">
        <v>2489</v>
      </c>
      <c r="B406" s="2" t="s">
        <v>3194</v>
      </c>
      <c r="C406" s="2" t="s">
        <v>902</v>
      </c>
      <c r="D406" s="2" t="s">
        <v>3155</v>
      </c>
      <c r="E406" s="2" t="s">
        <v>3604</v>
      </c>
      <c r="F406" s="4" t="s">
        <v>3101</v>
      </c>
    </row>
    <row r="407" spans="1:6" x14ac:dyDescent="0.3">
      <c r="A407" s="3" t="s">
        <v>2490</v>
      </c>
      <c r="B407" s="2" t="s">
        <v>3102</v>
      </c>
      <c r="C407" s="2" t="s">
        <v>904</v>
      </c>
      <c r="D407" s="2" t="s">
        <v>3103</v>
      </c>
      <c r="E407" s="2" t="s">
        <v>3605</v>
      </c>
      <c r="F407" s="4" t="s">
        <v>3105</v>
      </c>
    </row>
    <row r="408" spans="1:6" x14ac:dyDescent="0.3">
      <c r="A408" s="3" t="s">
        <v>2491</v>
      </c>
      <c r="B408" s="2" t="s">
        <v>3176</v>
      </c>
      <c r="C408" s="2" t="s">
        <v>906</v>
      </c>
      <c r="D408" s="2" t="s">
        <v>3177</v>
      </c>
      <c r="E408" s="2" t="s">
        <v>3606</v>
      </c>
      <c r="F408" s="4" t="s">
        <v>3109</v>
      </c>
    </row>
    <row r="409" spans="1:6" x14ac:dyDescent="0.3">
      <c r="A409" s="3" t="s">
        <v>2492</v>
      </c>
      <c r="B409" s="2" t="s">
        <v>3133</v>
      </c>
      <c r="C409" s="2" t="s">
        <v>908</v>
      </c>
      <c r="D409" s="2" t="s">
        <v>3134</v>
      </c>
      <c r="E409" s="2" t="s">
        <v>3607</v>
      </c>
      <c r="F409" s="4" t="s">
        <v>3111</v>
      </c>
    </row>
    <row r="410" spans="1:6" x14ac:dyDescent="0.3">
      <c r="A410" s="3" t="s">
        <v>2493</v>
      </c>
      <c r="B410" s="2" t="s">
        <v>3106</v>
      </c>
      <c r="C410" s="2" t="s">
        <v>910</v>
      </c>
      <c r="D410" s="2" t="s">
        <v>3107</v>
      </c>
      <c r="E410" s="2" t="s">
        <v>3608</v>
      </c>
      <c r="F410" s="4" t="s">
        <v>3114</v>
      </c>
    </row>
    <row r="411" spans="1:6" x14ac:dyDescent="0.3">
      <c r="A411" s="3" t="s">
        <v>2494</v>
      </c>
      <c r="B411" s="2" t="s">
        <v>3229</v>
      </c>
      <c r="C411" s="2" t="s">
        <v>912</v>
      </c>
      <c r="D411" s="2" t="s">
        <v>3230</v>
      </c>
      <c r="E411" s="2" t="s">
        <v>3333</v>
      </c>
      <c r="F411" s="4" t="s">
        <v>3118</v>
      </c>
    </row>
    <row r="412" spans="1:6" x14ac:dyDescent="0.3">
      <c r="A412" s="3" t="s">
        <v>2495</v>
      </c>
      <c r="B412" s="2" t="s">
        <v>3090</v>
      </c>
      <c r="C412" s="2" t="s">
        <v>914</v>
      </c>
      <c r="D412" s="2" t="s">
        <v>3091</v>
      </c>
      <c r="E412" s="2" t="s">
        <v>3609</v>
      </c>
      <c r="F412" s="4" t="s">
        <v>3121</v>
      </c>
    </row>
    <row r="413" spans="1:6" x14ac:dyDescent="0.3">
      <c r="A413" s="3" t="s">
        <v>2496</v>
      </c>
      <c r="B413" s="2" t="s">
        <v>3115</v>
      </c>
      <c r="C413" s="2" t="s">
        <v>916</v>
      </c>
      <c r="D413" s="2" t="s">
        <v>3116</v>
      </c>
      <c r="E413" s="2" t="s">
        <v>3610</v>
      </c>
      <c r="F413" s="4" t="s">
        <v>3125</v>
      </c>
    </row>
    <row r="414" spans="1:6" x14ac:dyDescent="0.3">
      <c r="A414" s="3" t="s">
        <v>2497</v>
      </c>
      <c r="B414" s="2" t="s">
        <v>3150</v>
      </c>
      <c r="C414" s="2" t="s">
        <v>918</v>
      </c>
      <c r="D414" s="2" t="s">
        <v>3151</v>
      </c>
      <c r="E414" s="2" t="s">
        <v>3611</v>
      </c>
      <c r="F414" s="4" t="s">
        <v>3127</v>
      </c>
    </row>
    <row r="415" spans="1:6" x14ac:dyDescent="0.3">
      <c r="A415" s="3" t="s">
        <v>2498</v>
      </c>
      <c r="B415" s="2" t="s">
        <v>3180</v>
      </c>
      <c r="C415" s="2" t="s">
        <v>920</v>
      </c>
      <c r="D415" s="2" t="s">
        <v>3181</v>
      </c>
      <c r="E415" s="2" t="s">
        <v>3612</v>
      </c>
      <c r="F415" s="4" t="s">
        <v>3130</v>
      </c>
    </row>
    <row r="416" spans="1:6" x14ac:dyDescent="0.3">
      <c r="A416" s="3" t="s">
        <v>2499</v>
      </c>
      <c r="B416" s="2" t="s">
        <v>3154</v>
      </c>
      <c r="C416" s="2" t="s">
        <v>922</v>
      </c>
      <c r="D416" s="2" t="s">
        <v>3155</v>
      </c>
      <c r="E416" s="2" t="s">
        <v>3613</v>
      </c>
      <c r="F416" s="4" t="s">
        <v>3132</v>
      </c>
    </row>
    <row r="417" spans="1:6" x14ac:dyDescent="0.3">
      <c r="A417" s="3" t="s">
        <v>2500</v>
      </c>
      <c r="B417" s="2" t="s">
        <v>3217</v>
      </c>
      <c r="C417" s="2" t="s">
        <v>924</v>
      </c>
      <c r="D417" s="2" t="s">
        <v>3218</v>
      </c>
      <c r="E417" s="2" t="s">
        <v>3614</v>
      </c>
      <c r="F417" s="4" t="s">
        <v>3136</v>
      </c>
    </row>
    <row r="418" spans="1:6" x14ac:dyDescent="0.3">
      <c r="A418" s="3" t="s">
        <v>2211</v>
      </c>
      <c r="B418" s="2" t="s">
        <v>3217</v>
      </c>
      <c r="C418" s="2" t="s">
        <v>345</v>
      </c>
      <c r="D418" s="2" t="s">
        <v>3218</v>
      </c>
      <c r="E418" s="2" t="s">
        <v>3351</v>
      </c>
      <c r="F418" s="4" t="s">
        <v>3138</v>
      </c>
    </row>
    <row r="419" spans="1:6" x14ac:dyDescent="0.3">
      <c r="A419" s="3" t="s">
        <v>2501</v>
      </c>
      <c r="B419" s="2" t="s">
        <v>3180</v>
      </c>
      <c r="C419" s="2" t="s">
        <v>927</v>
      </c>
      <c r="D419" s="2" t="s">
        <v>3181</v>
      </c>
      <c r="E419" s="2" t="s">
        <v>3615</v>
      </c>
      <c r="F419" s="4" t="s">
        <v>3141</v>
      </c>
    </row>
    <row r="420" spans="1:6" x14ac:dyDescent="0.3">
      <c r="A420" s="3" t="s">
        <v>2502</v>
      </c>
      <c r="B420" s="2" t="s">
        <v>3176</v>
      </c>
      <c r="C420" s="2" t="s">
        <v>929</v>
      </c>
      <c r="D420" s="2" t="s">
        <v>3177</v>
      </c>
      <c r="E420" s="2" t="s">
        <v>3616</v>
      </c>
      <c r="F420" s="4" t="s">
        <v>3143</v>
      </c>
    </row>
    <row r="421" spans="1:6" x14ac:dyDescent="0.3">
      <c r="A421" s="3" t="s">
        <v>2503</v>
      </c>
      <c r="B421" s="2" t="s">
        <v>3090</v>
      </c>
      <c r="C421" s="2" t="s">
        <v>3617</v>
      </c>
      <c r="D421" s="2" t="s">
        <v>3091</v>
      </c>
      <c r="E421" s="2" t="s">
        <v>3618</v>
      </c>
      <c r="F421" s="4" t="s">
        <v>3145</v>
      </c>
    </row>
    <row r="422" spans="1:6" x14ac:dyDescent="0.3">
      <c r="A422" s="3" t="s">
        <v>2504</v>
      </c>
      <c r="B422" s="2" t="s">
        <v>3194</v>
      </c>
      <c r="C422" s="2" t="s">
        <v>933</v>
      </c>
      <c r="D422" s="2" t="s">
        <v>3155</v>
      </c>
      <c r="E422" s="2" t="s">
        <v>3619</v>
      </c>
      <c r="F422" s="4" t="s">
        <v>3147</v>
      </c>
    </row>
    <row r="423" spans="1:6" x14ac:dyDescent="0.3">
      <c r="A423" s="3" t="s">
        <v>2505</v>
      </c>
      <c r="B423" s="2" t="s">
        <v>3139</v>
      </c>
      <c r="C423" s="2" t="s">
        <v>935</v>
      </c>
      <c r="D423" s="2" t="s">
        <v>3107</v>
      </c>
      <c r="E423" s="2" t="s">
        <v>3620</v>
      </c>
      <c r="F423" s="4" t="s">
        <v>3149</v>
      </c>
    </row>
    <row r="424" spans="1:6" x14ac:dyDescent="0.3">
      <c r="A424" s="3" t="s">
        <v>2506</v>
      </c>
      <c r="B424" s="2" t="s">
        <v>3217</v>
      </c>
      <c r="C424" s="2" t="s">
        <v>937</v>
      </c>
      <c r="D424" s="2" t="s">
        <v>3218</v>
      </c>
      <c r="E424" s="2" t="s">
        <v>3621</v>
      </c>
      <c r="F424" s="4" t="s">
        <v>3153</v>
      </c>
    </row>
    <row r="425" spans="1:6" x14ac:dyDescent="0.3">
      <c r="A425" s="3" t="s">
        <v>2507</v>
      </c>
      <c r="B425" s="2" t="s">
        <v>3122</v>
      </c>
      <c r="C425" s="2" t="s">
        <v>939</v>
      </c>
      <c r="D425" s="2" t="s">
        <v>3123</v>
      </c>
      <c r="E425" s="2" t="s">
        <v>3622</v>
      </c>
      <c r="F425" s="4" t="s">
        <v>3157</v>
      </c>
    </row>
    <row r="426" spans="1:6" x14ac:dyDescent="0.3">
      <c r="A426" s="3" t="s">
        <v>2508</v>
      </c>
      <c r="B426" s="2" t="s">
        <v>3139</v>
      </c>
      <c r="C426" s="2" t="s">
        <v>941</v>
      </c>
      <c r="D426" s="2" t="s">
        <v>3107</v>
      </c>
      <c r="E426" s="2" t="s">
        <v>3623</v>
      </c>
      <c r="F426" s="4" t="s">
        <v>3159</v>
      </c>
    </row>
    <row r="427" spans="1:6" x14ac:dyDescent="0.3">
      <c r="A427" s="3" t="s">
        <v>2509</v>
      </c>
      <c r="B427" s="2" t="s">
        <v>3102</v>
      </c>
      <c r="C427" s="2" t="s">
        <v>943</v>
      </c>
      <c r="D427" s="2" t="s">
        <v>3103</v>
      </c>
      <c r="E427" s="2" t="s">
        <v>3624</v>
      </c>
      <c r="F427" s="4" t="s">
        <v>3161</v>
      </c>
    </row>
    <row r="428" spans="1:6" x14ac:dyDescent="0.3">
      <c r="A428" s="3" t="s">
        <v>2510</v>
      </c>
      <c r="B428" s="2" t="s">
        <v>3112</v>
      </c>
      <c r="C428" s="2" t="s">
        <v>945</v>
      </c>
      <c r="D428" s="2" t="s">
        <v>64</v>
      </c>
      <c r="E428" s="2" t="s">
        <v>3625</v>
      </c>
      <c r="F428" s="4" t="s">
        <v>3163</v>
      </c>
    </row>
    <row r="429" spans="1:6" x14ac:dyDescent="0.3">
      <c r="A429" s="3" t="s">
        <v>2511</v>
      </c>
      <c r="B429" s="2" t="s">
        <v>3102</v>
      </c>
      <c r="C429" s="2" t="s">
        <v>947</v>
      </c>
      <c r="D429" s="2" t="s">
        <v>3103</v>
      </c>
      <c r="E429" s="2" t="s">
        <v>3626</v>
      </c>
      <c r="F429" s="4" t="s">
        <v>3167</v>
      </c>
    </row>
    <row r="430" spans="1:6" x14ac:dyDescent="0.3">
      <c r="A430" s="3" t="s">
        <v>2512</v>
      </c>
      <c r="B430" s="2" t="s">
        <v>3085</v>
      </c>
      <c r="C430" s="2" t="s">
        <v>949</v>
      </c>
      <c r="D430" s="2" t="s">
        <v>3087</v>
      </c>
      <c r="E430" s="2" t="s">
        <v>3627</v>
      </c>
      <c r="F430" s="4" t="s">
        <v>3171</v>
      </c>
    </row>
    <row r="431" spans="1:6" x14ac:dyDescent="0.3">
      <c r="A431" s="3" t="s">
        <v>2513</v>
      </c>
      <c r="B431" s="2" t="s">
        <v>3168</v>
      </c>
      <c r="C431" s="2" t="s">
        <v>951</v>
      </c>
      <c r="D431" s="2" t="s">
        <v>3169</v>
      </c>
      <c r="E431" s="2" t="s">
        <v>3371</v>
      </c>
      <c r="F431" s="4" t="s">
        <v>3173</v>
      </c>
    </row>
    <row r="432" spans="1:6" x14ac:dyDescent="0.3">
      <c r="A432" s="3" t="s">
        <v>2514</v>
      </c>
      <c r="B432" s="2" t="s">
        <v>3194</v>
      </c>
      <c r="C432" s="2" t="s">
        <v>953</v>
      </c>
      <c r="D432" s="2" t="s">
        <v>3155</v>
      </c>
      <c r="E432" s="2" t="s">
        <v>3348</v>
      </c>
      <c r="F432" s="4" t="s">
        <v>3175</v>
      </c>
    </row>
    <row r="433" spans="1:6" x14ac:dyDescent="0.3">
      <c r="A433" s="3" t="s">
        <v>2515</v>
      </c>
      <c r="B433" s="2" t="s">
        <v>3139</v>
      </c>
      <c r="C433" s="2" t="s">
        <v>955</v>
      </c>
      <c r="D433" s="2" t="s">
        <v>3107</v>
      </c>
      <c r="E433" s="2" t="s">
        <v>3628</v>
      </c>
      <c r="F433" s="4" t="s">
        <v>3179</v>
      </c>
    </row>
    <row r="434" spans="1:6" x14ac:dyDescent="0.3">
      <c r="A434" s="3" t="s">
        <v>2516</v>
      </c>
      <c r="B434" s="2" t="s">
        <v>3102</v>
      </c>
      <c r="C434" s="2" t="s">
        <v>957</v>
      </c>
      <c r="D434" s="2" t="s">
        <v>3103</v>
      </c>
      <c r="E434" s="2" t="s">
        <v>3629</v>
      </c>
      <c r="F434" s="4" t="s">
        <v>3183</v>
      </c>
    </row>
    <row r="435" spans="1:6" x14ac:dyDescent="0.3">
      <c r="A435" s="3" t="s">
        <v>2517</v>
      </c>
      <c r="B435" s="2" t="s">
        <v>3093</v>
      </c>
      <c r="C435" s="2" t="s">
        <v>959</v>
      </c>
      <c r="D435" s="2" t="s">
        <v>3094</v>
      </c>
      <c r="E435" s="2" t="s">
        <v>3630</v>
      </c>
      <c r="F435" s="4" t="s">
        <v>3185</v>
      </c>
    </row>
    <row r="436" spans="1:6" x14ac:dyDescent="0.3">
      <c r="A436" s="3" t="s">
        <v>2518</v>
      </c>
      <c r="B436" s="2" t="s">
        <v>3122</v>
      </c>
      <c r="C436" s="2" t="s">
        <v>961</v>
      </c>
      <c r="D436" s="2" t="s">
        <v>3123</v>
      </c>
      <c r="E436" s="2" t="s">
        <v>3333</v>
      </c>
      <c r="F436" s="4" t="s">
        <v>3187</v>
      </c>
    </row>
    <row r="437" spans="1:6" x14ac:dyDescent="0.3">
      <c r="A437" s="3" t="s">
        <v>2519</v>
      </c>
      <c r="B437" s="2" t="s">
        <v>3090</v>
      </c>
      <c r="C437" s="2" t="s">
        <v>963</v>
      </c>
      <c r="D437" s="2" t="s">
        <v>3091</v>
      </c>
      <c r="E437" s="2" t="s">
        <v>3631</v>
      </c>
      <c r="F437" s="4" t="s">
        <v>3189</v>
      </c>
    </row>
    <row r="438" spans="1:6" x14ac:dyDescent="0.3">
      <c r="A438" s="3" t="s">
        <v>2520</v>
      </c>
      <c r="B438" s="2" t="s">
        <v>3139</v>
      </c>
      <c r="C438" s="2" t="s">
        <v>965</v>
      </c>
      <c r="D438" s="2" t="s">
        <v>3107</v>
      </c>
      <c r="E438" s="2" t="s">
        <v>3632</v>
      </c>
      <c r="F438" s="4" t="s">
        <v>3191</v>
      </c>
    </row>
    <row r="439" spans="1:6" x14ac:dyDescent="0.3">
      <c r="A439" s="3" t="s">
        <v>2521</v>
      </c>
      <c r="B439" s="2" t="s">
        <v>3112</v>
      </c>
      <c r="C439" s="2" t="s">
        <v>967</v>
      </c>
      <c r="D439" s="2" t="s">
        <v>64</v>
      </c>
      <c r="E439" s="2" t="s">
        <v>3633</v>
      </c>
      <c r="F439" s="4" t="s">
        <v>3193</v>
      </c>
    </row>
    <row r="440" spans="1:6" x14ac:dyDescent="0.3">
      <c r="A440" s="3" t="s">
        <v>2522</v>
      </c>
      <c r="B440" s="2" t="s">
        <v>3154</v>
      </c>
      <c r="C440" s="2" t="s">
        <v>969</v>
      </c>
      <c r="D440" s="2" t="s">
        <v>3155</v>
      </c>
      <c r="E440" s="2" t="s">
        <v>3634</v>
      </c>
      <c r="F440" s="4" t="s">
        <v>3196</v>
      </c>
    </row>
    <row r="441" spans="1:6" x14ac:dyDescent="0.3">
      <c r="A441" s="3" t="s">
        <v>2523</v>
      </c>
      <c r="B441" s="2" t="s">
        <v>3085</v>
      </c>
      <c r="C441" s="2" t="s">
        <v>971</v>
      </c>
      <c r="D441" s="2" t="s">
        <v>3087</v>
      </c>
      <c r="E441" s="2" t="s">
        <v>3635</v>
      </c>
      <c r="F441" s="4" t="s">
        <v>3198</v>
      </c>
    </row>
    <row r="442" spans="1:6" x14ac:dyDescent="0.3">
      <c r="A442" s="3" t="s">
        <v>2524</v>
      </c>
      <c r="B442" s="2" t="s">
        <v>3122</v>
      </c>
      <c r="C442" s="2" t="s">
        <v>973</v>
      </c>
      <c r="D442" s="2" t="s">
        <v>3123</v>
      </c>
      <c r="E442" s="2" t="s">
        <v>3636</v>
      </c>
      <c r="F442" s="4" t="s">
        <v>3200</v>
      </c>
    </row>
    <row r="443" spans="1:6" x14ac:dyDescent="0.3">
      <c r="A443" s="3" t="s">
        <v>2525</v>
      </c>
      <c r="B443" s="2" t="s">
        <v>3133</v>
      </c>
      <c r="C443" s="2" t="s">
        <v>975</v>
      </c>
      <c r="D443" s="2" t="s">
        <v>3134</v>
      </c>
      <c r="E443" s="2" t="s">
        <v>3637</v>
      </c>
      <c r="F443" s="4" t="s">
        <v>3202</v>
      </c>
    </row>
    <row r="444" spans="1:6" x14ac:dyDescent="0.3">
      <c r="A444" s="3" t="s">
        <v>2526</v>
      </c>
      <c r="B444" s="2" t="s">
        <v>3213</v>
      </c>
      <c r="C444" s="2" t="s">
        <v>977</v>
      </c>
      <c r="D444" s="2" t="s">
        <v>3214</v>
      </c>
      <c r="E444" s="2" t="s">
        <v>3638</v>
      </c>
      <c r="F444" s="4" t="s">
        <v>3204</v>
      </c>
    </row>
    <row r="445" spans="1:6" x14ac:dyDescent="0.3">
      <c r="A445" s="3" t="s">
        <v>2527</v>
      </c>
      <c r="B445" s="2" t="s">
        <v>3213</v>
      </c>
      <c r="C445" s="2" t="s">
        <v>979</v>
      </c>
      <c r="D445" s="2" t="s">
        <v>3214</v>
      </c>
      <c r="E445" s="2" t="s">
        <v>3639</v>
      </c>
      <c r="F445" s="4" t="s">
        <v>3206</v>
      </c>
    </row>
    <row r="446" spans="1:6" x14ac:dyDescent="0.3">
      <c r="A446" s="3" t="s">
        <v>2528</v>
      </c>
      <c r="B446" s="2" t="s">
        <v>3164</v>
      </c>
      <c r="C446" s="2" t="s">
        <v>981</v>
      </c>
      <c r="D446" s="2" t="s">
        <v>3165</v>
      </c>
      <c r="E446" s="2" t="s">
        <v>3640</v>
      </c>
      <c r="F446" s="4" t="s">
        <v>3208</v>
      </c>
    </row>
    <row r="447" spans="1:6" x14ac:dyDescent="0.3">
      <c r="A447" s="3" t="s">
        <v>2529</v>
      </c>
      <c r="B447" s="2" t="s">
        <v>3180</v>
      </c>
      <c r="C447" s="2" t="s">
        <v>983</v>
      </c>
      <c r="D447" s="2" t="s">
        <v>3181</v>
      </c>
      <c r="E447" s="2" t="s">
        <v>3641</v>
      </c>
      <c r="F447" s="4" t="s">
        <v>3210</v>
      </c>
    </row>
    <row r="448" spans="1:6" x14ac:dyDescent="0.3">
      <c r="A448" s="3" t="s">
        <v>2530</v>
      </c>
      <c r="B448" s="2" t="s">
        <v>3119</v>
      </c>
      <c r="C448" s="2" t="s">
        <v>985</v>
      </c>
      <c r="D448" s="2" t="s">
        <v>75</v>
      </c>
      <c r="E448" s="2" t="s">
        <v>3389</v>
      </c>
      <c r="F448" s="4" t="s">
        <v>3212</v>
      </c>
    </row>
    <row r="449" spans="1:6" x14ac:dyDescent="0.3">
      <c r="A449" s="3" t="s">
        <v>2531</v>
      </c>
      <c r="B449" s="2" t="s">
        <v>3090</v>
      </c>
      <c r="C449" s="2" t="s">
        <v>987</v>
      </c>
      <c r="D449" s="2" t="s">
        <v>3091</v>
      </c>
      <c r="E449" s="2" t="s">
        <v>3642</v>
      </c>
      <c r="F449" s="4" t="s">
        <v>3216</v>
      </c>
    </row>
    <row r="450" spans="1:6" x14ac:dyDescent="0.3">
      <c r="A450" s="3" t="s">
        <v>2532</v>
      </c>
      <c r="B450" s="2" t="s">
        <v>3180</v>
      </c>
      <c r="C450" s="2" t="s">
        <v>989</v>
      </c>
      <c r="D450" s="2" t="s">
        <v>3181</v>
      </c>
      <c r="E450" s="2" t="s">
        <v>3643</v>
      </c>
      <c r="F450" s="4" t="s">
        <v>3220</v>
      </c>
    </row>
    <row r="451" spans="1:6" x14ac:dyDescent="0.3">
      <c r="A451" s="3" t="s">
        <v>2533</v>
      </c>
      <c r="B451" s="2" t="s">
        <v>3122</v>
      </c>
      <c r="C451" s="2" t="s">
        <v>991</v>
      </c>
      <c r="D451" s="2" t="s">
        <v>3123</v>
      </c>
      <c r="E451" s="2" t="s">
        <v>3644</v>
      </c>
      <c r="F451" s="4" t="s">
        <v>3222</v>
      </c>
    </row>
    <row r="452" spans="1:6" x14ac:dyDescent="0.3">
      <c r="A452" s="3" t="s">
        <v>2534</v>
      </c>
      <c r="B452" s="2" t="s">
        <v>3102</v>
      </c>
      <c r="C452" s="2" t="s">
        <v>993</v>
      </c>
      <c r="D452" s="2" t="s">
        <v>3103</v>
      </c>
      <c r="E452" s="2" t="s">
        <v>3645</v>
      </c>
      <c r="F452" s="4" t="s">
        <v>3224</v>
      </c>
    </row>
    <row r="453" spans="1:6" x14ac:dyDescent="0.3">
      <c r="A453" s="3" t="s">
        <v>2535</v>
      </c>
      <c r="B453" s="2" t="s">
        <v>3102</v>
      </c>
      <c r="C453" s="2" t="s">
        <v>995</v>
      </c>
      <c r="D453" s="2" t="s">
        <v>3103</v>
      </c>
      <c r="E453" s="2" t="s">
        <v>3468</v>
      </c>
      <c r="F453" s="4" t="s">
        <v>3226</v>
      </c>
    </row>
    <row r="454" spans="1:6" x14ac:dyDescent="0.3">
      <c r="A454" s="3" t="s">
        <v>2536</v>
      </c>
      <c r="B454" s="2" t="s">
        <v>3122</v>
      </c>
      <c r="C454" s="2" t="s">
        <v>997</v>
      </c>
      <c r="D454" s="2" t="s">
        <v>3123</v>
      </c>
      <c r="E454" s="2" t="s">
        <v>3646</v>
      </c>
      <c r="F454" s="4" t="s">
        <v>3228</v>
      </c>
    </row>
    <row r="455" spans="1:6" x14ac:dyDescent="0.3">
      <c r="A455" s="3" t="s">
        <v>2537</v>
      </c>
      <c r="B455" s="2" t="s">
        <v>3106</v>
      </c>
      <c r="C455" s="2" t="s">
        <v>999</v>
      </c>
      <c r="D455" s="2" t="s">
        <v>3107</v>
      </c>
      <c r="E455" s="2" t="s">
        <v>3647</v>
      </c>
      <c r="F455" s="4" t="s">
        <v>3232</v>
      </c>
    </row>
    <row r="456" spans="1:6" x14ac:dyDescent="0.3">
      <c r="A456" s="3" t="s">
        <v>2538</v>
      </c>
      <c r="B456" s="2" t="s">
        <v>3122</v>
      </c>
      <c r="C456" s="2" t="s">
        <v>3648</v>
      </c>
      <c r="D456" s="2" t="s">
        <v>3123</v>
      </c>
      <c r="E456" s="2" t="s">
        <v>3649</v>
      </c>
      <c r="F456" s="4" t="s">
        <v>3233</v>
      </c>
    </row>
    <row r="457" spans="1:6" x14ac:dyDescent="0.3">
      <c r="A457" s="3" t="s">
        <v>2539</v>
      </c>
      <c r="B457" s="2" t="s">
        <v>3164</v>
      </c>
      <c r="C457" s="2" t="s">
        <v>1003</v>
      </c>
      <c r="D457" s="2" t="s">
        <v>3165</v>
      </c>
      <c r="E457" s="2" t="s">
        <v>3650</v>
      </c>
      <c r="F457" s="4" t="s">
        <v>3235</v>
      </c>
    </row>
    <row r="458" spans="1:6" x14ac:dyDescent="0.3">
      <c r="A458" s="3" t="s">
        <v>2540</v>
      </c>
      <c r="B458" s="2" t="s">
        <v>3112</v>
      </c>
      <c r="C458" s="2" t="s">
        <v>1005</v>
      </c>
      <c r="D458" s="2" t="s">
        <v>64</v>
      </c>
      <c r="E458" s="2" t="s">
        <v>3651</v>
      </c>
      <c r="F458" s="4" t="s">
        <v>3237</v>
      </c>
    </row>
    <row r="459" spans="1:6" x14ac:dyDescent="0.3">
      <c r="A459" s="3" t="s">
        <v>2541</v>
      </c>
      <c r="B459" s="2" t="s">
        <v>3112</v>
      </c>
      <c r="C459" s="2" t="s">
        <v>1007</v>
      </c>
      <c r="D459" s="2" t="s">
        <v>64</v>
      </c>
      <c r="E459" s="2" t="s">
        <v>3652</v>
      </c>
      <c r="F459" s="4" t="s">
        <v>3239</v>
      </c>
    </row>
    <row r="460" spans="1:6" x14ac:dyDescent="0.3">
      <c r="A460" s="3" t="s">
        <v>2542</v>
      </c>
      <c r="B460" s="2" t="s">
        <v>3168</v>
      </c>
      <c r="C460" s="2" t="s">
        <v>1009</v>
      </c>
      <c r="D460" s="2" t="s">
        <v>3169</v>
      </c>
      <c r="E460" s="2" t="s">
        <v>3653</v>
      </c>
      <c r="F460" s="4" t="s">
        <v>3241</v>
      </c>
    </row>
    <row r="461" spans="1:6" x14ac:dyDescent="0.3">
      <c r="A461" s="3" t="s">
        <v>2543</v>
      </c>
      <c r="B461" s="2" t="s">
        <v>3180</v>
      </c>
      <c r="C461" s="2" t="s">
        <v>1011</v>
      </c>
      <c r="D461" s="2" t="s">
        <v>3181</v>
      </c>
      <c r="E461" s="2" t="s">
        <v>3654</v>
      </c>
      <c r="F461" s="4" t="s">
        <v>3243</v>
      </c>
    </row>
    <row r="462" spans="1:6" x14ac:dyDescent="0.3">
      <c r="A462" s="3" t="s">
        <v>2544</v>
      </c>
      <c r="B462" s="2" t="s">
        <v>3176</v>
      </c>
      <c r="C462" s="2" t="s">
        <v>1013</v>
      </c>
      <c r="D462" s="2" t="s">
        <v>3177</v>
      </c>
      <c r="E462" s="2" t="s">
        <v>3655</v>
      </c>
      <c r="F462" s="4" t="s">
        <v>3245</v>
      </c>
    </row>
    <row r="463" spans="1:6" x14ac:dyDescent="0.3">
      <c r="A463" s="3" t="s">
        <v>2545</v>
      </c>
      <c r="B463" s="2" t="s">
        <v>3115</v>
      </c>
      <c r="C463" s="2" t="s">
        <v>3656</v>
      </c>
      <c r="D463" s="2" t="s">
        <v>3116</v>
      </c>
      <c r="E463" s="2" t="s">
        <v>3657</v>
      </c>
      <c r="F463" s="4" t="s">
        <v>3247</v>
      </c>
    </row>
    <row r="464" spans="1:6" x14ac:dyDescent="0.3">
      <c r="A464" s="3" t="s">
        <v>2546</v>
      </c>
      <c r="B464" s="2" t="s">
        <v>3133</v>
      </c>
      <c r="C464" s="2" t="s">
        <v>1017</v>
      </c>
      <c r="D464" s="2" t="s">
        <v>3134</v>
      </c>
      <c r="E464" s="2" t="s">
        <v>3658</v>
      </c>
      <c r="F464" s="4" t="s">
        <v>3249</v>
      </c>
    </row>
    <row r="465" spans="1:6" x14ac:dyDescent="0.3">
      <c r="A465" s="3" t="s">
        <v>2547</v>
      </c>
      <c r="B465" s="2" t="s">
        <v>3217</v>
      </c>
      <c r="C465" s="2" t="s">
        <v>1019</v>
      </c>
      <c r="D465" s="2" t="s">
        <v>3218</v>
      </c>
      <c r="E465" s="2" t="s">
        <v>3659</v>
      </c>
      <c r="F465" s="4" t="s">
        <v>3251</v>
      </c>
    </row>
    <row r="466" spans="1:6" x14ac:dyDescent="0.3">
      <c r="A466" s="3" t="s">
        <v>2548</v>
      </c>
      <c r="B466" s="2" t="s">
        <v>3150</v>
      </c>
      <c r="C466" s="2" t="s">
        <v>1021</v>
      </c>
      <c r="D466" s="2" t="s">
        <v>3151</v>
      </c>
      <c r="E466" s="2" t="s">
        <v>3660</v>
      </c>
      <c r="F466" s="4" t="s">
        <v>3253</v>
      </c>
    </row>
    <row r="467" spans="1:6" x14ac:dyDescent="0.3">
      <c r="A467" s="3" t="s">
        <v>2549</v>
      </c>
      <c r="B467" s="2" t="s">
        <v>3180</v>
      </c>
      <c r="C467" s="2" t="s">
        <v>1023</v>
      </c>
      <c r="D467" s="2" t="s">
        <v>3181</v>
      </c>
      <c r="E467" s="2" t="s">
        <v>3661</v>
      </c>
      <c r="F467" s="4" t="s">
        <v>3255</v>
      </c>
    </row>
    <row r="468" spans="1:6" x14ac:dyDescent="0.3">
      <c r="A468" s="3" t="s">
        <v>2550</v>
      </c>
      <c r="B468" s="2" t="s">
        <v>3213</v>
      </c>
      <c r="C468" s="2" t="s">
        <v>1025</v>
      </c>
      <c r="D468" s="2" t="s">
        <v>3214</v>
      </c>
      <c r="E468" s="2" t="s">
        <v>3662</v>
      </c>
      <c r="F468" s="4" t="s">
        <v>3257</v>
      </c>
    </row>
    <row r="469" spans="1:6" x14ac:dyDescent="0.3">
      <c r="A469" s="3" t="s">
        <v>2551</v>
      </c>
      <c r="B469" s="2" t="s">
        <v>3213</v>
      </c>
      <c r="C469" s="2" t="s">
        <v>1027</v>
      </c>
      <c r="D469" s="2" t="s">
        <v>3214</v>
      </c>
      <c r="E469" s="2" t="s">
        <v>3663</v>
      </c>
      <c r="F469" s="4" t="s">
        <v>3259</v>
      </c>
    </row>
    <row r="470" spans="1:6" x14ac:dyDescent="0.3">
      <c r="A470" s="3" t="s">
        <v>2552</v>
      </c>
      <c r="B470" s="2" t="s">
        <v>3168</v>
      </c>
      <c r="C470" s="2" t="s">
        <v>1029</v>
      </c>
      <c r="D470" s="2" t="s">
        <v>3169</v>
      </c>
      <c r="E470" s="2" t="s">
        <v>3664</v>
      </c>
      <c r="F470" s="4" t="s">
        <v>3261</v>
      </c>
    </row>
    <row r="471" spans="1:6" x14ac:dyDescent="0.3">
      <c r="A471" s="3" t="s">
        <v>2553</v>
      </c>
      <c r="B471" s="2" t="s">
        <v>3090</v>
      </c>
      <c r="C471" s="2" t="s">
        <v>1031</v>
      </c>
      <c r="D471" s="2" t="s">
        <v>3091</v>
      </c>
      <c r="E471" s="2" t="s">
        <v>3665</v>
      </c>
      <c r="F471" s="4" t="s">
        <v>3263</v>
      </c>
    </row>
    <row r="472" spans="1:6" x14ac:dyDescent="0.3">
      <c r="A472" s="3" t="s">
        <v>2554</v>
      </c>
      <c r="B472" s="2" t="s">
        <v>3106</v>
      </c>
      <c r="C472" s="2" t="s">
        <v>1033</v>
      </c>
      <c r="D472" s="2" t="s">
        <v>3107</v>
      </c>
      <c r="E472" s="2" t="s">
        <v>3666</v>
      </c>
      <c r="F472" s="4" t="s">
        <v>3265</v>
      </c>
    </row>
    <row r="473" spans="1:6" x14ac:dyDescent="0.3">
      <c r="A473" s="3" t="s">
        <v>2555</v>
      </c>
      <c r="B473" s="2" t="s">
        <v>3139</v>
      </c>
      <c r="C473" s="2" t="s">
        <v>1035</v>
      </c>
      <c r="D473" s="2" t="s">
        <v>3107</v>
      </c>
      <c r="E473" s="2" t="s">
        <v>3667</v>
      </c>
      <c r="F473" s="4" t="s">
        <v>3267</v>
      </c>
    </row>
    <row r="474" spans="1:6" x14ac:dyDescent="0.3">
      <c r="A474" s="3" t="s">
        <v>2556</v>
      </c>
      <c r="B474" s="2" t="s">
        <v>3176</v>
      </c>
      <c r="C474" s="2" t="s">
        <v>1037</v>
      </c>
      <c r="D474" s="2" t="s">
        <v>3177</v>
      </c>
      <c r="E474" s="2" t="s">
        <v>3668</v>
      </c>
      <c r="F474" s="4" t="s">
        <v>3269</v>
      </c>
    </row>
    <row r="475" spans="1:6" x14ac:dyDescent="0.3">
      <c r="A475" s="3" t="s">
        <v>2557</v>
      </c>
      <c r="B475" s="2" t="s">
        <v>3213</v>
      </c>
      <c r="C475" s="2" t="s">
        <v>1039</v>
      </c>
      <c r="D475" s="2" t="s">
        <v>3214</v>
      </c>
      <c r="E475" s="2" t="s">
        <v>3669</v>
      </c>
      <c r="F475" s="4" t="s">
        <v>3271</v>
      </c>
    </row>
    <row r="476" spans="1:6" x14ac:dyDescent="0.3">
      <c r="A476" s="3" t="s">
        <v>2558</v>
      </c>
      <c r="B476" s="2" t="s">
        <v>3112</v>
      </c>
      <c r="C476" s="2" t="s">
        <v>1041</v>
      </c>
      <c r="D476" s="2" t="s">
        <v>64</v>
      </c>
      <c r="E476" s="2" t="s">
        <v>3670</v>
      </c>
      <c r="F476" s="4" t="s">
        <v>3273</v>
      </c>
    </row>
    <row r="477" spans="1:6" x14ac:dyDescent="0.3">
      <c r="A477" s="3" t="s">
        <v>2559</v>
      </c>
      <c r="B477" s="2" t="s">
        <v>3106</v>
      </c>
      <c r="C477" s="2" t="s">
        <v>1043</v>
      </c>
      <c r="D477" s="2" t="s">
        <v>3107</v>
      </c>
      <c r="E477" s="2" t="s">
        <v>3671</v>
      </c>
      <c r="F477" s="4" t="s">
        <v>3275</v>
      </c>
    </row>
    <row r="478" spans="1:6" x14ac:dyDescent="0.3">
      <c r="A478" s="3" t="s">
        <v>2560</v>
      </c>
      <c r="B478" s="2" t="s">
        <v>3229</v>
      </c>
      <c r="C478" s="2" t="s">
        <v>1045</v>
      </c>
      <c r="D478" s="2" t="s">
        <v>3230</v>
      </c>
      <c r="E478" s="2" t="s">
        <v>3672</v>
      </c>
      <c r="F478" s="4" t="s">
        <v>3277</v>
      </c>
    </row>
    <row r="479" spans="1:6" x14ac:dyDescent="0.3">
      <c r="A479" s="3" t="s">
        <v>2561</v>
      </c>
      <c r="B479" s="2" t="s">
        <v>3102</v>
      </c>
      <c r="C479" s="2" t="s">
        <v>1047</v>
      </c>
      <c r="D479" s="2" t="s">
        <v>3103</v>
      </c>
      <c r="E479" s="2" t="s">
        <v>3673</v>
      </c>
      <c r="F479" s="4" t="s">
        <v>3279</v>
      </c>
    </row>
    <row r="480" spans="1:6" x14ac:dyDescent="0.3">
      <c r="A480" s="3" t="s">
        <v>2562</v>
      </c>
      <c r="B480" s="2" t="s">
        <v>3102</v>
      </c>
      <c r="C480" s="2" t="s">
        <v>1049</v>
      </c>
      <c r="D480" s="2" t="s">
        <v>3103</v>
      </c>
      <c r="E480" s="2" t="s">
        <v>3674</v>
      </c>
      <c r="F480" s="4" t="s">
        <v>3281</v>
      </c>
    </row>
    <row r="481" spans="1:6" x14ac:dyDescent="0.3">
      <c r="A481" s="3" t="s">
        <v>2563</v>
      </c>
      <c r="B481" s="2" t="s">
        <v>3168</v>
      </c>
      <c r="C481" s="2" t="s">
        <v>1051</v>
      </c>
      <c r="D481" s="2" t="s">
        <v>3169</v>
      </c>
      <c r="E481" s="2" t="s">
        <v>3675</v>
      </c>
      <c r="F481" s="4" t="s">
        <v>3283</v>
      </c>
    </row>
    <row r="482" spans="1:6" x14ac:dyDescent="0.3">
      <c r="A482" s="3" t="s">
        <v>2564</v>
      </c>
      <c r="B482" s="2" t="s">
        <v>3176</v>
      </c>
      <c r="C482" s="2" t="s">
        <v>1053</v>
      </c>
      <c r="D482" s="2" t="s">
        <v>3177</v>
      </c>
      <c r="E482" s="2" t="s">
        <v>3676</v>
      </c>
      <c r="F482" s="4" t="s">
        <v>3285</v>
      </c>
    </row>
    <row r="483" spans="1:6" x14ac:dyDescent="0.3">
      <c r="A483" s="3" t="s">
        <v>2565</v>
      </c>
      <c r="B483" s="2" t="s">
        <v>3119</v>
      </c>
      <c r="C483" s="2" t="s">
        <v>1055</v>
      </c>
      <c r="D483" s="2" t="s">
        <v>75</v>
      </c>
      <c r="E483" s="2" t="s">
        <v>3677</v>
      </c>
      <c r="F483" s="4" t="s">
        <v>3287</v>
      </c>
    </row>
    <row r="484" spans="1:6" x14ac:dyDescent="0.3">
      <c r="A484" s="3" t="s">
        <v>2566</v>
      </c>
      <c r="B484" s="2" t="s">
        <v>3102</v>
      </c>
      <c r="C484" s="2" t="s">
        <v>1057</v>
      </c>
      <c r="D484" s="2" t="s">
        <v>3103</v>
      </c>
      <c r="E484" s="2" t="s">
        <v>3678</v>
      </c>
      <c r="F484" s="4" t="s">
        <v>3289</v>
      </c>
    </row>
    <row r="485" spans="1:6" x14ac:dyDescent="0.3">
      <c r="A485" s="3" t="s">
        <v>2567</v>
      </c>
      <c r="B485" s="2" t="s">
        <v>3102</v>
      </c>
      <c r="C485" s="2" t="s">
        <v>1059</v>
      </c>
      <c r="D485" s="2" t="s">
        <v>3103</v>
      </c>
      <c r="E485" s="2" t="s">
        <v>3679</v>
      </c>
      <c r="F485" s="4" t="s">
        <v>3291</v>
      </c>
    </row>
    <row r="486" spans="1:6" x14ac:dyDescent="0.3">
      <c r="A486" s="3" t="s">
        <v>2568</v>
      </c>
      <c r="B486" s="2" t="s">
        <v>3180</v>
      </c>
      <c r="C486" s="2" t="s">
        <v>1061</v>
      </c>
      <c r="D486" s="2" t="s">
        <v>3181</v>
      </c>
      <c r="E486" s="2" t="s">
        <v>3680</v>
      </c>
      <c r="F486" s="4" t="s">
        <v>3293</v>
      </c>
    </row>
    <row r="487" spans="1:6" x14ac:dyDescent="0.3">
      <c r="A487" s="3" t="s">
        <v>2569</v>
      </c>
      <c r="B487" s="2" t="s">
        <v>3115</v>
      </c>
      <c r="C487" s="2" t="s">
        <v>1063</v>
      </c>
      <c r="D487" s="2" t="s">
        <v>3116</v>
      </c>
      <c r="E487" s="2" t="s">
        <v>3681</v>
      </c>
      <c r="F487" s="4" t="s">
        <v>3295</v>
      </c>
    </row>
    <row r="488" spans="1:6" x14ac:dyDescent="0.3">
      <c r="A488" s="3" t="s">
        <v>2380</v>
      </c>
      <c r="B488" s="2" t="s">
        <v>3164</v>
      </c>
      <c r="C488" s="2" t="s">
        <v>684</v>
      </c>
      <c r="D488" s="2" t="s">
        <v>3165</v>
      </c>
      <c r="E488" s="2" t="s">
        <v>3510</v>
      </c>
      <c r="F488" s="4" t="s">
        <v>3297</v>
      </c>
    </row>
    <row r="489" spans="1:6" x14ac:dyDescent="0.3">
      <c r="A489" s="3" t="s">
        <v>2570</v>
      </c>
      <c r="B489" s="2" t="s">
        <v>3194</v>
      </c>
      <c r="C489" s="2" t="s">
        <v>1066</v>
      </c>
      <c r="D489" s="2" t="s">
        <v>3155</v>
      </c>
      <c r="E489" s="2" t="s">
        <v>3431</v>
      </c>
      <c r="F489" s="4" t="s">
        <v>3299</v>
      </c>
    </row>
    <row r="490" spans="1:6" x14ac:dyDescent="0.3">
      <c r="A490" s="3" t="s">
        <v>2571</v>
      </c>
      <c r="B490" s="2" t="s">
        <v>3106</v>
      </c>
      <c r="C490" s="2" t="s">
        <v>1068</v>
      </c>
      <c r="D490" s="2" t="s">
        <v>3107</v>
      </c>
      <c r="E490" s="2" t="s">
        <v>3682</v>
      </c>
      <c r="F490" s="4" t="s">
        <v>3301</v>
      </c>
    </row>
    <row r="491" spans="1:6" x14ac:dyDescent="0.3">
      <c r="A491" s="3" t="s">
        <v>2572</v>
      </c>
      <c r="B491" s="2" t="s">
        <v>3150</v>
      </c>
      <c r="C491" s="2" t="s">
        <v>1070</v>
      </c>
      <c r="D491" s="2" t="s">
        <v>3151</v>
      </c>
      <c r="E491" s="2" t="s">
        <v>3683</v>
      </c>
      <c r="F491" s="4" t="s">
        <v>3303</v>
      </c>
    </row>
    <row r="492" spans="1:6" x14ac:dyDescent="0.3">
      <c r="A492" s="3" t="s">
        <v>2573</v>
      </c>
      <c r="B492" s="2" t="s">
        <v>3229</v>
      </c>
      <c r="C492" s="2" t="s">
        <v>1072</v>
      </c>
      <c r="D492" s="2" t="s">
        <v>3230</v>
      </c>
      <c r="E492" s="2" t="s">
        <v>3684</v>
      </c>
      <c r="F492" s="4" t="s">
        <v>3305</v>
      </c>
    </row>
    <row r="493" spans="1:6" x14ac:dyDescent="0.3">
      <c r="A493" s="3" t="s">
        <v>2574</v>
      </c>
      <c r="B493" s="2" t="s">
        <v>3090</v>
      </c>
      <c r="C493" s="2" t="s">
        <v>1074</v>
      </c>
      <c r="D493" s="2" t="s">
        <v>3091</v>
      </c>
      <c r="E493" s="2" t="s">
        <v>3685</v>
      </c>
      <c r="F493" s="4" t="s">
        <v>3307</v>
      </c>
    </row>
    <row r="494" spans="1:6" x14ac:dyDescent="0.3">
      <c r="A494" s="3" t="s">
        <v>2575</v>
      </c>
      <c r="B494" s="2" t="s">
        <v>3164</v>
      </c>
      <c r="C494" s="2" t="s">
        <v>1076</v>
      </c>
      <c r="D494" s="2" t="s">
        <v>3165</v>
      </c>
      <c r="E494" s="2" t="s">
        <v>3415</v>
      </c>
      <c r="F494" s="4" t="s">
        <v>3309</v>
      </c>
    </row>
    <row r="495" spans="1:6" x14ac:dyDescent="0.3">
      <c r="A495" s="3" t="s">
        <v>2576</v>
      </c>
      <c r="B495" s="2" t="s">
        <v>3168</v>
      </c>
      <c r="C495" s="2" t="s">
        <v>1078</v>
      </c>
      <c r="D495" s="2" t="s">
        <v>3169</v>
      </c>
      <c r="E495" s="2" t="s">
        <v>3337</v>
      </c>
      <c r="F495" s="4" t="s">
        <v>3311</v>
      </c>
    </row>
    <row r="496" spans="1:6" x14ac:dyDescent="0.3">
      <c r="A496" s="3" t="s">
        <v>2577</v>
      </c>
      <c r="B496" s="2" t="s">
        <v>3154</v>
      </c>
      <c r="C496" s="2" t="s">
        <v>1080</v>
      </c>
      <c r="D496" s="2" t="s">
        <v>3155</v>
      </c>
      <c r="E496" s="2" t="s">
        <v>3686</v>
      </c>
      <c r="F496" s="4" t="s">
        <v>3313</v>
      </c>
    </row>
    <row r="497" spans="1:6" x14ac:dyDescent="0.3">
      <c r="A497" s="3" t="s">
        <v>2578</v>
      </c>
      <c r="B497" s="2" t="s">
        <v>3122</v>
      </c>
      <c r="C497" s="2" t="s">
        <v>1082</v>
      </c>
      <c r="D497" s="2" t="s">
        <v>3123</v>
      </c>
      <c r="E497" s="2" t="s">
        <v>3687</v>
      </c>
      <c r="F497" s="4" t="s">
        <v>3315</v>
      </c>
    </row>
    <row r="498" spans="1:6" x14ac:dyDescent="0.3">
      <c r="A498" s="3" t="s">
        <v>2579</v>
      </c>
      <c r="B498" s="2" t="s">
        <v>3102</v>
      </c>
      <c r="C498" s="2" t="s">
        <v>1084</v>
      </c>
      <c r="D498" s="2" t="s">
        <v>3103</v>
      </c>
      <c r="E498" s="2" t="s">
        <v>3688</v>
      </c>
      <c r="F498" s="4" t="s">
        <v>3317</v>
      </c>
    </row>
    <row r="499" spans="1:6" x14ac:dyDescent="0.3">
      <c r="A499" s="3" t="s">
        <v>2580</v>
      </c>
      <c r="B499" s="2" t="s">
        <v>3106</v>
      </c>
      <c r="C499" s="2" t="s">
        <v>3689</v>
      </c>
      <c r="D499" s="2" t="s">
        <v>3107</v>
      </c>
      <c r="E499" s="2" t="s">
        <v>3690</v>
      </c>
      <c r="F499" s="4" t="s">
        <v>3319</v>
      </c>
    </row>
    <row r="500" spans="1:6" x14ac:dyDescent="0.3">
      <c r="A500" s="3" t="s">
        <v>2581</v>
      </c>
      <c r="B500" s="2" t="s">
        <v>3164</v>
      </c>
      <c r="C500" s="2" t="s">
        <v>1088</v>
      </c>
      <c r="D500" s="2" t="s">
        <v>3165</v>
      </c>
      <c r="E500" s="2" t="s">
        <v>3691</v>
      </c>
      <c r="F500" s="4" t="s">
        <v>3321</v>
      </c>
    </row>
    <row r="501" spans="1:6" x14ac:dyDescent="0.3">
      <c r="A501" s="3" t="s">
        <v>2582</v>
      </c>
      <c r="B501" s="2" t="s">
        <v>3180</v>
      </c>
      <c r="C501" s="2" t="s">
        <v>1090</v>
      </c>
      <c r="D501" s="2" t="s">
        <v>3181</v>
      </c>
      <c r="E501" s="2" t="s">
        <v>3692</v>
      </c>
      <c r="F501" s="4" t="s">
        <v>3323</v>
      </c>
    </row>
    <row r="502" spans="1:6" x14ac:dyDescent="0.3">
      <c r="A502" s="3" t="s">
        <v>2583</v>
      </c>
      <c r="B502" s="2" t="s">
        <v>3090</v>
      </c>
      <c r="C502" s="2" t="s">
        <v>1092</v>
      </c>
      <c r="D502" s="2" t="s">
        <v>3091</v>
      </c>
      <c r="E502" s="2" t="s">
        <v>3693</v>
      </c>
      <c r="F502" s="4" t="s">
        <v>3325</v>
      </c>
    </row>
    <row r="503" spans="1:6" x14ac:dyDescent="0.3">
      <c r="A503" s="3" t="s">
        <v>2584</v>
      </c>
      <c r="B503" s="2" t="s">
        <v>3217</v>
      </c>
      <c r="C503" s="2" t="s">
        <v>1094</v>
      </c>
      <c r="D503" s="2" t="s">
        <v>3218</v>
      </c>
      <c r="E503" s="2" t="s">
        <v>3694</v>
      </c>
      <c r="F503" s="4" t="s">
        <v>3089</v>
      </c>
    </row>
    <row r="504" spans="1:6" x14ac:dyDescent="0.3">
      <c r="A504" s="3" t="s">
        <v>2585</v>
      </c>
      <c r="B504" s="2" t="s">
        <v>3133</v>
      </c>
      <c r="C504" s="2" t="s">
        <v>1096</v>
      </c>
      <c r="D504" s="2" t="s">
        <v>3134</v>
      </c>
      <c r="E504" s="2" t="s">
        <v>3695</v>
      </c>
      <c r="F504" s="4" t="s">
        <v>3096</v>
      </c>
    </row>
    <row r="505" spans="1:6" x14ac:dyDescent="0.3">
      <c r="A505" s="3" t="s">
        <v>2586</v>
      </c>
      <c r="B505" s="2" t="s">
        <v>3154</v>
      </c>
      <c r="C505" s="2" t="s">
        <v>1098</v>
      </c>
      <c r="D505" s="2" t="s">
        <v>3155</v>
      </c>
      <c r="E505" s="2" t="s">
        <v>3696</v>
      </c>
      <c r="F505" s="4" t="s">
        <v>3098</v>
      </c>
    </row>
    <row r="506" spans="1:6" x14ac:dyDescent="0.3">
      <c r="A506" s="3" t="s">
        <v>2587</v>
      </c>
      <c r="B506" s="2" t="s">
        <v>3119</v>
      </c>
      <c r="C506" s="2" t="s">
        <v>1100</v>
      </c>
      <c r="D506" s="2" t="s">
        <v>75</v>
      </c>
      <c r="E506" s="2" t="s">
        <v>3697</v>
      </c>
      <c r="F506" s="4" t="s">
        <v>3101</v>
      </c>
    </row>
    <row r="507" spans="1:6" x14ac:dyDescent="0.3">
      <c r="A507" s="3" t="s">
        <v>2588</v>
      </c>
      <c r="B507" s="2" t="s">
        <v>3122</v>
      </c>
      <c r="C507" s="2" t="s">
        <v>1102</v>
      </c>
      <c r="D507" s="2" t="s">
        <v>3123</v>
      </c>
      <c r="E507" s="2" t="s">
        <v>3698</v>
      </c>
      <c r="F507" s="4" t="s">
        <v>3105</v>
      </c>
    </row>
    <row r="508" spans="1:6" x14ac:dyDescent="0.3">
      <c r="A508" s="3" t="s">
        <v>2589</v>
      </c>
      <c r="B508" s="2" t="s">
        <v>3217</v>
      </c>
      <c r="C508" s="2" t="s">
        <v>1104</v>
      </c>
      <c r="D508" s="2" t="s">
        <v>3218</v>
      </c>
      <c r="E508" s="2" t="s">
        <v>3699</v>
      </c>
      <c r="F508" s="4" t="s">
        <v>3109</v>
      </c>
    </row>
    <row r="509" spans="1:6" x14ac:dyDescent="0.3">
      <c r="A509" s="3" t="s">
        <v>2590</v>
      </c>
      <c r="B509" s="2" t="s">
        <v>3119</v>
      </c>
      <c r="C509" s="2" t="s">
        <v>3700</v>
      </c>
      <c r="D509" s="2" t="s">
        <v>75</v>
      </c>
      <c r="E509" s="2" t="s">
        <v>3701</v>
      </c>
      <c r="F509" s="4" t="s">
        <v>3111</v>
      </c>
    </row>
    <row r="510" spans="1:6" x14ac:dyDescent="0.3">
      <c r="A510" s="3" t="s">
        <v>2591</v>
      </c>
      <c r="B510" s="2" t="s">
        <v>3150</v>
      </c>
      <c r="C510" s="2" t="s">
        <v>1108</v>
      </c>
      <c r="D510" s="2" t="s">
        <v>3151</v>
      </c>
      <c r="E510" s="2" t="s">
        <v>3702</v>
      </c>
      <c r="F510" s="4" t="s">
        <v>3114</v>
      </c>
    </row>
    <row r="511" spans="1:6" x14ac:dyDescent="0.3">
      <c r="A511" s="3" t="s">
        <v>2592</v>
      </c>
      <c r="B511" s="2" t="s">
        <v>3112</v>
      </c>
      <c r="C511" s="2" t="s">
        <v>1110</v>
      </c>
      <c r="D511" s="2" t="s">
        <v>64</v>
      </c>
      <c r="E511" s="2" t="s">
        <v>3703</v>
      </c>
      <c r="F511" s="4" t="s">
        <v>3118</v>
      </c>
    </row>
    <row r="512" spans="1:6" x14ac:dyDescent="0.3">
      <c r="A512" s="3" t="s">
        <v>2593</v>
      </c>
      <c r="B512" s="2" t="s">
        <v>3093</v>
      </c>
      <c r="C512" s="2" t="s">
        <v>3704</v>
      </c>
      <c r="D512" s="2" t="s">
        <v>3094</v>
      </c>
      <c r="E512" s="2" t="s">
        <v>3705</v>
      </c>
      <c r="F512" s="4" t="s">
        <v>3121</v>
      </c>
    </row>
    <row r="513" spans="1:6" x14ac:dyDescent="0.3">
      <c r="A513" s="3" t="s">
        <v>2594</v>
      </c>
      <c r="B513" s="2" t="s">
        <v>3122</v>
      </c>
      <c r="C513" s="2" t="s">
        <v>1114</v>
      </c>
      <c r="D513" s="2" t="s">
        <v>3123</v>
      </c>
      <c r="E513" s="2" t="s">
        <v>3706</v>
      </c>
      <c r="F513" s="4" t="s">
        <v>3125</v>
      </c>
    </row>
    <row r="514" spans="1:6" x14ac:dyDescent="0.3">
      <c r="A514" s="3" t="s">
        <v>2595</v>
      </c>
      <c r="B514" s="2" t="s">
        <v>3229</v>
      </c>
      <c r="C514" s="2" t="s">
        <v>1116</v>
      </c>
      <c r="D514" s="2" t="s">
        <v>3230</v>
      </c>
      <c r="E514" s="2" t="s">
        <v>3707</v>
      </c>
      <c r="F514" s="4" t="s">
        <v>3127</v>
      </c>
    </row>
    <row r="515" spans="1:6" x14ac:dyDescent="0.3">
      <c r="A515" s="3" t="s">
        <v>2596</v>
      </c>
      <c r="B515" s="2" t="s">
        <v>3119</v>
      </c>
      <c r="C515" s="2" t="s">
        <v>1118</v>
      </c>
      <c r="D515" s="2" t="s">
        <v>75</v>
      </c>
      <c r="E515" s="2" t="s">
        <v>3708</v>
      </c>
      <c r="F515" s="4" t="s">
        <v>3130</v>
      </c>
    </row>
    <row r="516" spans="1:6" x14ac:dyDescent="0.3">
      <c r="A516" s="3" t="s">
        <v>2597</v>
      </c>
      <c r="B516" s="2" t="s">
        <v>3112</v>
      </c>
      <c r="C516" s="2" t="s">
        <v>1120</v>
      </c>
      <c r="D516" s="2" t="s">
        <v>64</v>
      </c>
      <c r="E516" s="2" t="s">
        <v>3709</v>
      </c>
      <c r="F516" s="4" t="s">
        <v>3132</v>
      </c>
    </row>
    <row r="517" spans="1:6" x14ac:dyDescent="0.3">
      <c r="A517" s="3" t="s">
        <v>2598</v>
      </c>
      <c r="B517" s="2" t="s">
        <v>3133</v>
      </c>
      <c r="C517" s="2" t="s">
        <v>1122</v>
      </c>
      <c r="D517" s="2" t="s">
        <v>3134</v>
      </c>
      <c r="E517" s="2" t="s">
        <v>3710</v>
      </c>
      <c r="F517" s="4" t="s">
        <v>3136</v>
      </c>
    </row>
    <row r="518" spans="1:6" x14ac:dyDescent="0.3">
      <c r="A518" s="3" t="s">
        <v>2599</v>
      </c>
      <c r="B518" s="2" t="s">
        <v>3115</v>
      </c>
      <c r="C518" s="2" t="s">
        <v>1124</v>
      </c>
      <c r="D518" s="2" t="s">
        <v>3116</v>
      </c>
      <c r="E518" s="2" t="s">
        <v>3711</v>
      </c>
      <c r="F518" s="4" t="s">
        <v>3138</v>
      </c>
    </row>
    <row r="519" spans="1:6" x14ac:dyDescent="0.3">
      <c r="A519" s="3" t="s">
        <v>2600</v>
      </c>
      <c r="B519" s="2" t="s">
        <v>3213</v>
      </c>
      <c r="C519" s="2" t="s">
        <v>1126</v>
      </c>
      <c r="D519" s="2" t="s">
        <v>3214</v>
      </c>
      <c r="E519" s="2" t="s">
        <v>3712</v>
      </c>
      <c r="F519" s="4" t="s">
        <v>3141</v>
      </c>
    </row>
    <row r="520" spans="1:6" x14ac:dyDescent="0.3">
      <c r="A520" s="3" t="s">
        <v>2601</v>
      </c>
      <c r="B520" s="2" t="s">
        <v>3119</v>
      </c>
      <c r="C520" s="2" t="s">
        <v>1128</v>
      </c>
      <c r="D520" s="2" t="s">
        <v>75</v>
      </c>
      <c r="E520" s="2" t="s">
        <v>3713</v>
      </c>
      <c r="F520" s="4" t="s">
        <v>3143</v>
      </c>
    </row>
    <row r="521" spans="1:6" x14ac:dyDescent="0.3">
      <c r="A521" s="3" t="s">
        <v>2602</v>
      </c>
      <c r="B521" s="2" t="s">
        <v>3106</v>
      </c>
      <c r="C521" s="2" t="s">
        <v>1130</v>
      </c>
      <c r="D521" s="2" t="s">
        <v>3107</v>
      </c>
      <c r="E521" s="2" t="s">
        <v>3714</v>
      </c>
      <c r="F521" s="4" t="s">
        <v>3145</v>
      </c>
    </row>
    <row r="522" spans="1:6" x14ac:dyDescent="0.3">
      <c r="A522" s="3" t="s">
        <v>2603</v>
      </c>
      <c r="B522" s="2" t="s">
        <v>3213</v>
      </c>
      <c r="C522" s="2" t="s">
        <v>1132</v>
      </c>
      <c r="D522" s="2" t="s">
        <v>3214</v>
      </c>
      <c r="E522" s="2" t="s">
        <v>3563</v>
      </c>
      <c r="F522" s="4" t="s">
        <v>3147</v>
      </c>
    </row>
    <row r="523" spans="1:6" x14ac:dyDescent="0.3">
      <c r="A523" s="3" t="s">
        <v>2604</v>
      </c>
      <c r="B523" s="2" t="s">
        <v>3176</v>
      </c>
      <c r="C523" s="2" t="s">
        <v>1134</v>
      </c>
      <c r="D523" s="2" t="s">
        <v>3177</v>
      </c>
      <c r="E523" s="2" t="s">
        <v>3715</v>
      </c>
      <c r="F523" s="4" t="s">
        <v>3149</v>
      </c>
    </row>
    <row r="524" spans="1:6" x14ac:dyDescent="0.3">
      <c r="A524" s="3" t="s">
        <v>2605</v>
      </c>
      <c r="B524" s="2" t="s">
        <v>3180</v>
      </c>
      <c r="C524" s="2" t="s">
        <v>1136</v>
      </c>
      <c r="D524" s="2" t="s">
        <v>3181</v>
      </c>
      <c r="E524" s="2" t="s">
        <v>3716</v>
      </c>
      <c r="F524" s="4" t="s">
        <v>3153</v>
      </c>
    </row>
    <row r="525" spans="1:6" x14ac:dyDescent="0.3">
      <c r="A525" s="3" t="s">
        <v>2606</v>
      </c>
      <c r="B525" s="2" t="s">
        <v>3112</v>
      </c>
      <c r="C525" s="2" t="s">
        <v>1138</v>
      </c>
      <c r="D525" s="2" t="s">
        <v>64</v>
      </c>
      <c r="E525" s="2" t="s">
        <v>3717</v>
      </c>
      <c r="F525" s="4" t="s">
        <v>3157</v>
      </c>
    </row>
    <row r="526" spans="1:6" x14ac:dyDescent="0.3">
      <c r="A526" s="3" t="s">
        <v>2607</v>
      </c>
      <c r="B526" s="2" t="s">
        <v>3112</v>
      </c>
      <c r="C526" s="2" t="s">
        <v>1140</v>
      </c>
      <c r="D526" s="2" t="s">
        <v>64</v>
      </c>
      <c r="E526" s="2" t="s">
        <v>3718</v>
      </c>
      <c r="F526" s="4" t="s">
        <v>3159</v>
      </c>
    </row>
    <row r="527" spans="1:6" x14ac:dyDescent="0.3">
      <c r="A527" s="3" t="s">
        <v>2608</v>
      </c>
      <c r="B527" s="2" t="s">
        <v>3115</v>
      </c>
      <c r="C527" s="2" t="s">
        <v>1142</v>
      </c>
      <c r="D527" s="2" t="s">
        <v>3116</v>
      </c>
      <c r="E527" s="2" t="s">
        <v>3719</v>
      </c>
      <c r="F527" s="4" t="s">
        <v>3161</v>
      </c>
    </row>
    <row r="528" spans="1:6" x14ac:dyDescent="0.3">
      <c r="A528" s="3" t="s">
        <v>2609</v>
      </c>
      <c r="B528" s="2" t="s">
        <v>3085</v>
      </c>
      <c r="C528" s="2" t="s">
        <v>1144</v>
      </c>
      <c r="D528" s="2" t="s">
        <v>3087</v>
      </c>
      <c r="E528" s="2" t="s">
        <v>3720</v>
      </c>
      <c r="F528" s="4" t="s">
        <v>3163</v>
      </c>
    </row>
    <row r="529" spans="1:6" x14ac:dyDescent="0.3">
      <c r="A529" s="3" t="s">
        <v>2610</v>
      </c>
      <c r="B529" s="2" t="s">
        <v>3229</v>
      </c>
      <c r="C529" s="2" t="s">
        <v>1146</v>
      </c>
      <c r="D529" s="2" t="s">
        <v>3230</v>
      </c>
      <c r="E529" s="2" t="s">
        <v>3721</v>
      </c>
      <c r="F529" s="4" t="s">
        <v>3167</v>
      </c>
    </row>
    <row r="530" spans="1:6" x14ac:dyDescent="0.3">
      <c r="A530" s="3" t="s">
        <v>2611</v>
      </c>
      <c r="B530" s="2" t="s">
        <v>3119</v>
      </c>
      <c r="C530" s="2" t="s">
        <v>1148</v>
      </c>
      <c r="D530" s="2" t="s">
        <v>75</v>
      </c>
      <c r="E530" s="2" t="s">
        <v>3722</v>
      </c>
      <c r="F530" s="4" t="s">
        <v>3171</v>
      </c>
    </row>
    <row r="531" spans="1:6" x14ac:dyDescent="0.3">
      <c r="A531" s="3" t="s">
        <v>2612</v>
      </c>
      <c r="B531" s="2" t="s">
        <v>3093</v>
      </c>
      <c r="C531" s="2" t="s">
        <v>1150</v>
      </c>
      <c r="D531" s="2" t="s">
        <v>3094</v>
      </c>
      <c r="E531" s="2" t="s">
        <v>3723</v>
      </c>
      <c r="F531" s="4" t="s">
        <v>3173</v>
      </c>
    </row>
    <row r="532" spans="1:6" x14ac:dyDescent="0.3">
      <c r="A532" s="3" t="s">
        <v>2613</v>
      </c>
      <c r="B532" s="2" t="s">
        <v>3168</v>
      </c>
      <c r="C532" s="2" t="s">
        <v>1152</v>
      </c>
      <c r="D532" s="2" t="s">
        <v>3169</v>
      </c>
      <c r="E532" s="2" t="s">
        <v>3724</v>
      </c>
      <c r="F532" s="4" t="s">
        <v>3175</v>
      </c>
    </row>
    <row r="533" spans="1:6" x14ac:dyDescent="0.3">
      <c r="A533" s="3" t="s">
        <v>2614</v>
      </c>
      <c r="B533" s="2" t="s">
        <v>3139</v>
      </c>
      <c r="C533" s="2" t="s">
        <v>1154</v>
      </c>
      <c r="D533" s="2" t="s">
        <v>3107</v>
      </c>
      <c r="E533" s="2" t="s">
        <v>3725</v>
      </c>
      <c r="F533" s="4" t="s">
        <v>3179</v>
      </c>
    </row>
    <row r="534" spans="1:6" x14ac:dyDescent="0.3">
      <c r="A534" s="3" t="s">
        <v>2615</v>
      </c>
      <c r="B534" s="2" t="s">
        <v>3139</v>
      </c>
      <c r="C534" s="2" t="s">
        <v>1156</v>
      </c>
      <c r="D534" s="2" t="s">
        <v>3107</v>
      </c>
      <c r="E534" s="2" t="s">
        <v>3726</v>
      </c>
      <c r="F534" s="4" t="s">
        <v>3183</v>
      </c>
    </row>
    <row r="535" spans="1:6" x14ac:dyDescent="0.3">
      <c r="A535" s="3" t="s">
        <v>2616</v>
      </c>
      <c r="B535" s="2" t="s">
        <v>3093</v>
      </c>
      <c r="C535" s="2" t="s">
        <v>1158</v>
      </c>
      <c r="D535" s="2" t="s">
        <v>3094</v>
      </c>
      <c r="E535" s="2" t="s">
        <v>3727</v>
      </c>
      <c r="F535" s="4" t="s">
        <v>3185</v>
      </c>
    </row>
    <row r="536" spans="1:6" x14ac:dyDescent="0.3">
      <c r="A536" s="3" t="s">
        <v>2617</v>
      </c>
      <c r="B536" s="2" t="s">
        <v>3112</v>
      </c>
      <c r="C536" s="2" t="s">
        <v>1160</v>
      </c>
      <c r="D536" s="2" t="s">
        <v>64</v>
      </c>
      <c r="E536" s="2" t="s">
        <v>3728</v>
      </c>
      <c r="F536" s="4" t="s">
        <v>3187</v>
      </c>
    </row>
    <row r="537" spans="1:6" x14ac:dyDescent="0.3">
      <c r="A537" s="3" t="s">
        <v>2618</v>
      </c>
      <c r="B537" s="2" t="s">
        <v>3194</v>
      </c>
      <c r="C537" s="2" t="s">
        <v>3729</v>
      </c>
      <c r="D537" s="2" t="s">
        <v>3155</v>
      </c>
      <c r="E537" s="2" t="s">
        <v>3730</v>
      </c>
      <c r="F537" s="4" t="s">
        <v>3189</v>
      </c>
    </row>
    <row r="538" spans="1:6" x14ac:dyDescent="0.3">
      <c r="A538" s="3" t="s">
        <v>2619</v>
      </c>
      <c r="B538" s="2" t="s">
        <v>3213</v>
      </c>
      <c r="C538" s="2" t="s">
        <v>1164</v>
      </c>
      <c r="D538" s="2" t="s">
        <v>3214</v>
      </c>
      <c r="E538" s="2" t="s">
        <v>3731</v>
      </c>
      <c r="F538" s="4" t="s">
        <v>3191</v>
      </c>
    </row>
    <row r="539" spans="1:6" x14ac:dyDescent="0.3">
      <c r="A539" s="3" t="s">
        <v>2620</v>
      </c>
      <c r="B539" s="2" t="s">
        <v>3217</v>
      </c>
      <c r="C539" s="2" t="s">
        <v>1166</v>
      </c>
      <c r="D539" s="2" t="s">
        <v>3218</v>
      </c>
      <c r="E539" s="2" t="s">
        <v>3732</v>
      </c>
      <c r="F539" s="4" t="s">
        <v>3193</v>
      </c>
    </row>
    <row r="540" spans="1:6" x14ac:dyDescent="0.3">
      <c r="A540" s="3" t="s">
        <v>2621</v>
      </c>
      <c r="B540" s="2" t="s">
        <v>3093</v>
      </c>
      <c r="C540" s="2" t="s">
        <v>1168</v>
      </c>
      <c r="D540" s="2" t="s">
        <v>3094</v>
      </c>
      <c r="E540" s="2" t="s">
        <v>3733</v>
      </c>
      <c r="F540" s="4" t="s">
        <v>3196</v>
      </c>
    </row>
    <row r="541" spans="1:6" x14ac:dyDescent="0.3">
      <c r="A541" s="3" t="s">
        <v>2622</v>
      </c>
      <c r="B541" s="2" t="s">
        <v>3085</v>
      </c>
      <c r="C541" s="2" t="s">
        <v>1170</v>
      </c>
      <c r="D541" s="2" t="s">
        <v>3087</v>
      </c>
      <c r="E541" s="2" t="s">
        <v>3734</v>
      </c>
      <c r="F541" s="4" t="s">
        <v>3198</v>
      </c>
    </row>
    <row r="542" spans="1:6" x14ac:dyDescent="0.3">
      <c r="A542" s="3" t="s">
        <v>2623</v>
      </c>
      <c r="B542" s="2" t="s">
        <v>3133</v>
      </c>
      <c r="C542" s="2" t="s">
        <v>1172</v>
      </c>
      <c r="D542" s="2" t="s">
        <v>3134</v>
      </c>
      <c r="E542" s="2" t="s">
        <v>3735</v>
      </c>
      <c r="F542" s="4" t="s">
        <v>3200</v>
      </c>
    </row>
    <row r="543" spans="1:6" x14ac:dyDescent="0.3">
      <c r="A543" s="3" t="s">
        <v>2624</v>
      </c>
      <c r="B543" s="2" t="s">
        <v>3213</v>
      </c>
      <c r="C543" s="2" t="s">
        <v>1174</v>
      </c>
      <c r="D543" s="2" t="s">
        <v>3214</v>
      </c>
      <c r="E543" s="2" t="s">
        <v>3736</v>
      </c>
      <c r="F543" s="4" t="s">
        <v>3202</v>
      </c>
    </row>
    <row r="544" spans="1:6" x14ac:dyDescent="0.3">
      <c r="A544" s="3" t="s">
        <v>2625</v>
      </c>
      <c r="B544" s="2" t="s">
        <v>3229</v>
      </c>
      <c r="C544" s="2" t="s">
        <v>1176</v>
      </c>
      <c r="D544" s="2" t="s">
        <v>3230</v>
      </c>
      <c r="E544" s="2" t="s">
        <v>3737</v>
      </c>
      <c r="F544" s="4" t="s">
        <v>3204</v>
      </c>
    </row>
    <row r="545" spans="1:6" x14ac:dyDescent="0.3">
      <c r="A545" s="3" t="s">
        <v>2626</v>
      </c>
      <c r="B545" s="2" t="s">
        <v>3217</v>
      </c>
      <c r="C545" s="2" t="s">
        <v>1178</v>
      </c>
      <c r="D545" s="2" t="s">
        <v>3218</v>
      </c>
      <c r="E545" s="2" t="s">
        <v>3738</v>
      </c>
      <c r="F545" s="4" t="s">
        <v>3206</v>
      </c>
    </row>
    <row r="546" spans="1:6" x14ac:dyDescent="0.3">
      <c r="A546" s="3" t="s">
        <v>2627</v>
      </c>
      <c r="B546" s="2" t="s">
        <v>3090</v>
      </c>
      <c r="C546" s="2" t="s">
        <v>1180</v>
      </c>
      <c r="D546" s="2" t="s">
        <v>3091</v>
      </c>
      <c r="E546" s="2" t="s">
        <v>3739</v>
      </c>
      <c r="F546" s="4" t="s">
        <v>3208</v>
      </c>
    </row>
    <row r="547" spans="1:6" x14ac:dyDescent="0.3">
      <c r="A547" s="3" t="s">
        <v>2628</v>
      </c>
      <c r="B547" s="2" t="s">
        <v>3115</v>
      </c>
      <c r="C547" s="2" t="s">
        <v>1182</v>
      </c>
      <c r="D547" s="2" t="s">
        <v>3116</v>
      </c>
      <c r="E547" s="2" t="s">
        <v>3740</v>
      </c>
      <c r="F547" s="4" t="s">
        <v>3210</v>
      </c>
    </row>
    <row r="548" spans="1:6" x14ac:dyDescent="0.3">
      <c r="A548" s="3" t="s">
        <v>2629</v>
      </c>
      <c r="B548" s="2" t="s">
        <v>3168</v>
      </c>
      <c r="C548" s="2" t="s">
        <v>1184</v>
      </c>
      <c r="D548" s="2" t="s">
        <v>3169</v>
      </c>
      <c r="E548" s="2" t="s">
        <v>3741</v>
      </c>
      <c r="F548" s="4" t="s">
        <v>3212</v>
      </c>
    </row>
    <row r="549" spans="1:6" x14ac:dyDescent="0.3">
      <c r="A549" s="3" t="s">
        <v>2630</v>
      </c>
      <c r="B549" s="2" t="s">
        <v>3119</v>
      </c>
      <c r="C549" s="2" t="s">
        <v>1186</v>
      </c>
      <c r="D549" s="2" t="s">
        <v>75</v>
      </c>
      <c r="E549" s="2" t="s">
        <v>3377</v>
      </c>
      <c r="F549" s="4" t="s">
        <v>3216</v>
      </c>
    </row>
    <row r="550" spans="1:6" x14ac:dyDescent="0.3">
      <c r="A550" s="3" t="s">
        <v>2631</v>
      </c>
      <c r="B550" s="2" t="s">
        <v>3102</v>
      </c>
      <c r="C550" s="2" t="s">
        <v>1188</v>
      </c>
      <c r="D550" s="2" t="s">
        <v>3103</v>
      </c>
      <c r="E550" s="2" t="s">
        <v>3742</v>
      </c>
      <c r="F550" s="4" t="s">
        <v>3220</v>
      </c>
    </row>
    <row r="551" spans="1:6" x14ac:dyDescent="0.3">
      <c r="A551" s="3" t="s">
        <v>2632</v>
      </c>
      <c r="B551" s="2" t="s">
        <v>3119</v>
      </c>
      <c r="C551" s="2" t="s">
        <v>1190</v>
      </c>
      <c r="D551" s="2" t="s">
        <v>75</v>
      </c>
      <c r="E551" s="2" t="s">
        <v>3743</v>
      </c>
      <c r="F551" s="4" t="s">
        <v>3222</v>
      </c>
    </row>
    <row r="552" spans="1:6" x14ac:dyDescent="0.3">
      <c r="A552" s="3" t="s">
        <v>2633</v>
      </c>
      <c r="B552" s="2" t="s">
        <v>3122</v>
      </c>
      <c r="C552" s="2" t="s">
        <v>1192</v>
      </c>
      <c r="D552" s="2" t="s">
        <v>3123</v>
      </c>
      <c r="E552" s="2" t="s">
        <v>3744</v>
      </c>
      <c r="F552" s="4" t="s">
        <v>3224</v>
      </c>
    </row>
    <row r="553" spans="1:6" x14ac:dyDescent="0.3">
      <c r="A553" s="3" t="s">
        <v>2634</v>
      </c>
      <c r="B553" s="2" t="s">
        <v>3176</v>
      </c>
      <c r="C553" s="2" t="s">
        <v>3745</v>
      </c>
      <c r="D553" s="2" t="s">
        <v>3177</v>
      </c>
      <c r="E553" s="2" t="s">
        <v>3746</v>
      </c>
      <c r="F553" s="4" t="s">
        <v>3226</v>
      </c>
    </row>
    <row r="554" spans="1:6" x14ac:dyDescent="0.3">
      <c r="A554" s="3" t="s">
        <v>2635</v>
      </c>
      <c r="B554" s="2" t="s">
        <v>3090</v>
      </c>
      <c r="C554" s="2" t="s">
        <v>1196</v>
      </c>
      <c r="D554" s="2" t="s">
        <v>3091</v>
      </c>
      <c r="E554" s="2" t="s">
        <v>3747</v>
      </c>
      <c r="F554" s="4" t="s">
        <v>3228</v>
      </c>
    </row>
    <row r="555" spans="1:6" x14ac:dyDescent="0.3">
      <c r="A555" s="3" t="s">
        <v>2636</v>
      </c>
      <c r="B555" s="2" t="s">
        <v>3085</v>
      </c>
      <c r="C555" s="2" t="s">
        <v>1198</v>
      </c>
      <c r="D555" s="2" t="s">
        <v>3087</v>
      </c>
      <c r="E555" s="2" t="s">
        <v>3660</v>
      </c>
      <c r="F555" s="4" t="s">
        <v>3232</v>
      </c>
    </row>
    <row r="556" spans="1:6" x14ac:dyDescent="0.3">
      <c r="A556" s="3" t="s">
        <v>2637</v>
      </c>
      <c r="B556" s="2" t="s">
        <v>3115</v>
      </c>
      <c r="C556" s="2" t="s">
        <v>1200</v>
      </c>
      <c r="D556" s="2" t="s">
        <v>3116</v>
      </c>
      <c r="E556" s="2" t="s">
        <v>3748</v>
      </c>
      <c r="F556" s="4" t="s">
        <v>3233</v>
      </c>
    </row>
    <row r="557" spans="1:6" x14ac:dyDescent="0.3">
      <c r="A557" s="3" t="s">
        <v>2638</v>
      </c>
      <c r="B557" s="2" t="s">
        <v>3154</v>
      </c>
      <c r="C557" s="2" t="s">
        <v>1202</v>
      </c>
      <c r="D557" s="2" t="s">
        <v>3155</v>
      </c>
      <c r="E557" s="2" t="s">
        <v>3749</v>
      </c>
      <c r="F557" s="4" t="s">
        <v>3235</v>
      </c>
    </row>
    <row r="558" spans="1:6" x14ac:dyDescent="0.3">
      <c r="A558" s="3" t="s">
        <v>2639</v>
      </c>
      <c r="B558" s="2" t="s">
        <v>3112</v>
      </c>
      <c r="C558" s="2" t="s">
        <v>1204</v>
      </c>
      <c r="D558" s="2" t="s">
        <v>64</v>
      </c>
      <c r="E558" s="2" t="s">
        <v>3750</v>
      </c>
      <c r="F558" s="4" t="s">
        <v>3237</v>
      </c>
    </row>
    <row r="559" spans="1:6" x14ac:dyDescent="0.3">
      <c r="A559" s="3" t="s">
        <v>2640</v>
      </c>
      <c r="B559" s="2" t="s">
        <v>3115</v>
      </c>
      <c r="C559" s="2" t="s">
        <v>1206</v>
      </c>
      <c r="D559" s="2" t="s">
        <v>3116</v>
      </c>
      <c r="E559" s="2" t="s">
        <v>3113</v>
      </c>
      <c r="F559" s="4" t="s">
        <v>3239</v>
      </c>
    </row>
    <row r="560" spans="1:6" x14ac:dyDescent="0.3">
      <c r="A560" s="3" t="s">
        <v>2641</v>
      </c>
      <c r="B560" s="2" t="s">
        <v>3194</v>
      </c>
      <c r="C560" s="2" t="s">
        <v>1208</v>
      </c>
      <c r="D560" s="2" t="s">
        <v>3155</v>
      </c>
      <c r="E560" s="2" t="s">
        <v>3751</v>
      </c>
      <c r="F560" s="4" t="s">
        <v>3241</v>
      </c>
    </row>
    <row r="561" spans="1:6" x14ac:dyDescent="0.3">
      <c r="A561" s="3" t="s">
        <v>2642</v>
      </c>
      <c r="B561" s="2" t="s">
        <v>3122</v>
      </c>
      <c r="C561" s="2" t="s">
        <v>1210</v>
      </c>
      <c r="D561" s="2" t="s">
        <v>3123</v>
      </c>
      <c r="E561" s="2" t="s">
        <v>3752</v>
      </c>
      <c r="F561" s="4" t="s">
        <v>3243</v>
      </c>
    </row>
    <row r="562" spans="1:6" x14ac:dyDescent="0.3">
      <c r="A562" s="3" t="s">
        <v>2643</v>
      </c>
      <c r="B562" s="2" t="s">
        <v>3180</v>
      </c>
      <c r="C562" s="2" t="s">
        <v>1212</v>
      </c>
      <c r="D562" s="2" t="s">
        <v>3181</v>
      </c>
      <c r="E562" s="2" t="s">
        <v>3753</v>
      </c>
      <c r="F562" s="4" t="s">
        <v>3245</v>
      </c>
    </row>
    <row r="563" spans="1:6" x14ac:dyDescent="0.3">
      <c r="A563" s="3" t="s">
        <v>2644</v>
      </c>
      <c r="B563" s="2" t="s">
        <v>3176</v>
      </c>
      <c r="C563" s="2" t="s">
        <v>1214</v>
      </c>
      <c r="D563" s="2" t="s">
        <v>3177</v>
      </c>
      <c r="E563" s="2" t="s">
        <v>3754</v>
      </c>
      <c r="F563" s="4" t="s">
        <v>3247</v>
      </c>
    </row>
    <row r="564" spans="1:6" x14ac:dyDescent="0.3">
      <c r="A564" s="3" t="s">
        <v>2645</v>
      </c>
      <c r="B564" s="2" t="s">
        <v>3217</v>
      </c>
      <c r="C564" s="2" t="s">
        <v>1216</v>
      </c>
      <c r="D564" s="2" t="s">
        <v>3218</v>
      </c>
      <c r="E564" s="2" t="s">
        <v>3333</v>
      </c>
      <c r="F564" s="4" t="s">
        <v>3249</v>
      </c>
    </row>
    <row r="565" spans="1:6" x14ac:dyDescent="0.3">
      <c r="A565" s="3" t="s">
        <v>2646</v>
      </c>
      <c r="B565" s="2" t="s">
        <v>3115</v>
      </c>
      <c r="C565" s="2" t="s">
        <v>1218</v>
      </c>
      <c r="D565" s="2" t="s">
        <v>3116</v>
      </c>
      <c r="E565" s="2" t="s">
        <v>3755</v>
      </c>
      <c r="F565" s="4" t="s">
        <v>3251</v>
      </c>
    </row>
    <row r="566" spans="1:6" x14ac:dyDescent="0.3">
      <c r="A566" s="3" t="s">
        <v>2647</v>
      </c>
      <c r="B566" s="2" t="s">
        <v>3119</v>
      </c>
      <c r="C566" s="2" t="s">
        <v>1220</v>
      </c>
      <c r="D566" s="2" t="s">
        <v>75</v>
      </c>
      <c r="E566" s="2" t="s">
        <v>3756</v>
      </c>
      <c r="F566" s="4" t="s">
        <v>3253</v>
      </c>
    </row>
    <row r="567" spans="1:6" x14ac:dyDescent="0.3">
      <c r="A567" s="3" t="s">
        <v>2648</v>
      </c>
      <c r="B567" s="2" t="s">
        <v>3213</v>
      </c>
      <c r="C567" s="2" t="s">
        <v>1222</v>
      </c>
      <c r="D567" s="2" t="s">
        <v>3214</v>
      </c>
      <c r="E567" s="2" t="s">
        <v>3757</v>
      </c>
      <c r="F567" s="4" t="s">
        <v>3255</v>
      </c>
    </row>
    <row r="568" spans="1:6" x14ac:dyDescent="0.3">
      <c r="A568" s="3" t="s">
        <v>2649</v>
      </c>
      <c r="B568" s="2" t="s">
        <v>3115</v>
      </c>
      <c r="C568" s="2" t="s">
        <v>1224</v>
      </c>
      <c r="D568" s="2" t="s">
        <v>3116</v>
      </c>
      <c r="E568" s="2" t="s">
        <v>3468</v>
      </c>
      <c r="F568" s="4" t="s">
        <v>3257</v>
      </c>
    </row>
    <row r="569" spans="1:6" x14ac:dyDescent="0.3">
      <c r="A569" s="3" t="s">
        <v>2650</v>
      </c>
      <c r="B569" s="2" t="s">
        <v>3168</v>
      </c>
      <c r="C569" s="2" t="s">
        <v>1226</v>
      </c>
      <c r="D569" s="2" t="s">
        <v>3169</v>
      </c>
      <c r="E569" s="2" t="s">
        <v>3758</v>
      </c>
      <c r="F569" s="4" t="s">
        <v>3259</v>
      </c>
    </row>
    <row r="570" spans="1:6" x14ac:dyDescent="0.3">
      <c r="A570" s="3" t="s">
        <v>2651</v>
      </c>
      <c r="B570" s="2" t="s">
        <v>3122</v>
      </c>
      <c r="C570" s="2" t="s">
        <v>1228</v>
      </c>
      <c r="D570" s="2" t="s">
        <v>3123</v>
      </c>
      <c r="E570" s="2" t="s">
        <v>3759</v>
      </c>
      <c r="F570" s="4" t="s">
        <v>3261</v>
      </c>
    </row>
    <row r="571" spans="1:6" x14ac:dyDescent="0.3">
      <c r="A571" s="3" t="s">
        <v>2652</v>
      </c>
      <c r="B571" s="2" t="s">
        <v>3168</v>
      </c>
      <c r="C571" s="2" t="s">
        <v>1230</v>
      </c>
      <c r="D571" s="2" t="s">
        <v>3169</v>
      </c>
      <c r="E571" s="2" t="s">
        <v>3760</v>
      </c>
      <c r="F571" s="4" t="s">
        <v>3263</v>
      </c>
    </row>
    <row r="572" spans="1:6" x14ac:dyDescent="0.3">
      <c r="A572" s="3" t="s">
        <v>2653</v>
      </c>
      <c r="B572" s="2" t="s">
        <v>3112</v>
      </c>
      <c r="C572" s="2" t="s">
        <v>1232</v>
      </c>
      <c r="D572" s="2" t="s">
        <v>64</v>
      </c>
      <c r="E572" s="2" t="s">
        <v>3761</v>
      </c>
      <c r="F572" s="4" t="s">
        <v>3265</v>
      </c>
    </row>
    <row r="573" spans="1:6" x14ac:dyDescent="0.3">
      <c r="A573" s="3" t="s">
        <v>2654</v>
      </c>
      <c r="B573" s="2" t="s">
        <v>3217</v>
      </c>
      <c r="C573" s="2" t="s">
        <v>1234</v>
      </c>
      <c r="D573" s="2" t="s">
        <v>3218</v>
      </c>
      <c r="E573" s="2" t="s">
        <v>3762</v>
      </c>
      <c r="F573" s="4" t="s">
        <v>3267</v>
      </c>
    </row>
    <row r="574" spans="1:6" x14ac:dyDescent="0.3">
      <c r="A574" s="3" t="s">
        <v>2655</v>
      </c>
      <c r="B574" s="2" t="s">
        <v>3106</v>
      </c>
      <c r="C574" s="2" t="s">
        <v>1236</v>
      </c>
      <c r="D574" s="2" t="s">
        <v>3107</v>
      </c>
      <c r="E574" s="2" t="s">
        <v>3333</v>
      </c>
      <c r="F574" s="4" t="s">
        <v>3269</v>
      </c>
    </row>
    <row r="575" spans="1:6" x14ac:dyDescent="0.3">
      <c r="A575" s="3" t="s">
        <v>2656</v>
      </c>
      <c r="B575" s="2" t="s">
        <v>3217</v>
      </c>
      <c r="C575" s="2" t="s">
        <v>1238</v>
      </c>
      <c r="D575" s="2" t="s">
        <v>3218</v>
      </c>
      <c r="E575" s="2" t="s">
        <v>3763</v>
      </c>
      <c r="F575" s="4" t="s">
        <v>3271</v>
      </c>
    </row>
    <row r="576" spans="1:6" x14ac:dyDescent="0.3">
      <c r="A576" s="3" t="s">
        <v>2657</v>
      </c>
      <c r="B576" s="2" t="s">
        <v>3217</v>
      </c>
      <c r="C576" s="2" t="s">
        <v>1240</v>
      </c>
      <c r="D576" s="2" t="s">
        <v>3218</v>
      </c>
      <c r="E576" s="2" t="s">
        <v>3764</v>
      </c>
      <c r="F576" s="4" t="s">
        <v>3273</v>
      </c>
    </row>
    <row r="577" spans="1:6" x14ac:dyDescent="0.3">
      <c r="A577" s="3" t="s">
        <v>2658</v>
      </c>
      <c r="B577" s="2" t="s">
        <v>3180</v>
      </c>
      <c r="C577" s="2" t="s">
        <v>1242</v>
      </c>
      <c r="D577" s="2" t="s">
        <v>3181</v>
      </c>
      <c r="E577" s="2" t="s">
        <v>3765</v>
      </c>
      <c r="F577" s="4" t="s">
        <v>3275</v>
      </c>
    </row>
    <row r="578" spans="1:6" x14ac:dyDescent="0.3">
      <c r="A578" s="3" t="s">
        <v>2659</v>
      </c>
      <c r="B578" s="2" t="s">
        <v>3154</v>
      </c>
      <c r="C578" s="2" t="s">
        <v>1244</v>
      </c>
      <c r="D578" s="2" t="s">
        <v>3155</v>
      </c>
      <c r="E578" s="2" t="s">
        <v>3766</v>
      </c>
      <c r="F578" s="4" t="s">
        <v>3277</v>
      </c>
    </row>
    <row r="579" spans="1:6" x14ac:dyDescent="0.3">
      <c r="A579" s="3" t="s">
        <v>2660</v>
      </c>
      <c r="B579" s="2" t="s">
        <v>3106</v>
      </c>
      <c r="C579" s="2" t="s">
        <v>1246</v>
      </c>
      <c r="D579" s="2" t="s">
        <v>3107</v>
      </c>
      <c r="E579" s="2" t="s">
        <v>3767</v>
      </c>
      <c r="F579" s="4" t="s">
        <v>3279</v>
      </c>
    </row>
    <row r="580" spans="1:6" x14ac:dyDescent="0.3">
      <c r="A580" s="3" t="s">
        <v>2661</v>
      </c>
      <c r="B580" s="2" t="s">
        <v>3176</v>
      </c>
      <c r="C580" s="2" t="s">
        <v>1248</v>
      </c>
      <c r="D580" s="2" t="s">
        <v>3177</v>
      </c>
      <c r="E580" s="2" t="s">
        <v>3768</v>
      </c>
      <c r="F580" s="4" t="s">
        <v>3281</v>
      </c>
    </row>
    <row r="581" spans="1:6" x14ac:dyDescent="0.3">
      <c r="A581" s="3" t="s">
        <v>2662</v>
      </c>
      <c r="B581" s="2" t="s">
        <v>3119</v>
      </c>
      <c r="C581" s="2" t="s">
        <v>1250</v>
      </c>
      <c r="D581" s="2" t="s">
        <v>75</v>
      </c>
      <c r="E581" s="2" t="s">
        <v>3348</v>
      </c>
      <c r="F581" s="4" t="s">
        <v>3283</v>
      </c>
    </row>
    <row r="582" spans="1:6" x14ac:dyDescent="0.3">
      <c r="A582" s="3" t="s">
        <v>2663</v>
      </c>
      <c r="B582" s="2" t="s">
        <v>3119</v>
      </c>
      <c r="C582" s="2" t="s">
        <v>1252</v>
      </c>
      <c r="D582" s="2" t="s">
        <v>75</v>
      </c>
      <c r="E582" s="2" t="s">
        <v>3769</v>
      </c>
      <c r="F582" s="4" t="s">
        <v>3285</v>
      </c>
    </row>
    <row r="583" spans="1:6" x14ac:dyDescent="0.3">
      <c r="A583" s="3" t="s">
        <v>2664</v>
      </c>
      <c r="B583" s="2" t="s">
        <v>3093</v>
      </c>
      <c r="C583" s="2" t="s">
        <v>1254</v>
      </c>
      <c r="D583" s="2" t="s">
        <v>3094</v>
      </c>
      <c r="E583" s="2" t="s">
        <v>3770</v>
      </c>
      <c r="F583" s="4" t="s">
        <v>3287</v>
      </c>
    </row>
    <row r="584" spans="1:6" x14ac:dyDescent="0.3">
      <c r="A584" s="3" t="s">
        <v>2665</v>
      </c>
      <c r="B584" s="2" t="s">
        <v>3180</v>
      </c>
      <c r="C584" s="2" t="s">
        <v>1256</v>
      </c>
      <c r="D584" s="2" t="s">
        <v>3181</v>
      </c>
      <c r="E584" s="2" t="s">
        <v>3771</v>
      </c>
      <c r="F584" s="4" t="s">
        <v>3289</v>
      </c>
    </row>
    <row r="585" spans="1:6" x14ac:dyDescent="0.3">
      <c r="A585" s="3" t="s">
        <v>2666</v>
      </c>
      <c r="B585" s="2" t="s">
        <v>3139</v>
      </c>
      <c r="C585" s="2" t="s">
        <v>1258</v>
      </c>
      <c r="D585" s="2" t="s">
        <v>3107</v>
      </c>
      <c r="E585" s="2" t="s">
        <v>3772</v>
      </c>
      <c r="F585" s="4" t="s">
        <v>3291</v>
      </c>
    </row>
    <row r="586" spans="1:6" x14ac:dyDescent="0.3">
      <c r="A586" s="3" t="s">
        <v>2667</v>
      </c>
      <c r="B586" s="2" t="s">
        <v>3112</v>
      </c>
      <c r="C586" s="2" t="s">
        <v>1260</v>
      </c>
      <c r="D586" s="2" t="s">
        <v>64</v>
      </c>
      <c r="E586" s="2" t="s">
        <v>3773</v>
      </c>
      <c r="F586" s="4" t="s">
        <v>3293</v>
      </c>
    </row>
    <row r="587" spans="1:6" x14ac:dyDescent="0.3">
      <c r="A587" s="3" t="s">
        <v>2668</v>
      </c>
      <c r="B587" s="2" t="s">
        <v>3217</v>
      </c>
      <c r="C587" s="2" t="s">
        <v>1262</v>
      </c>
      <c r="D587" s="2" t="s">
        <v>3218</v>
      </c>
      <c r="E587" s="2" t="s">
        <v>3774</v>
      </c>
      <c r="F587" s="4" t="s">
        <v>3295</v>
      </c>
    </row>
    <row r="588" spans="1:6" x14ac:dyDescent="0.3">
      <c r="A588" s="3" t="s">
        <v>2669</v>
      </c>
      <c r="B588" s="2" t="s">
        <v>3119</v>
      </c>
      <c r="C588" s="2" t="s">
        <v>1264</v>
      </c>
      <c r="D588" s="2" t="s">
        <v>75</v>
      </c>
      <c r="E588" s="2" t="s">
        <v>3775</v>
      </c>
      <c r="F588" s="4" t="s">
        <v>3297</v>
      </c>
    </row>
    <row r="589" spans="1:6" x14ac:dyDescent="0.3">
      <c r="A589" s="3" t="s">
        <v>2670</v>
      </c>
      <c r="B589" s="2" t="s">
        <v>3090</v>
      </c>
      <c r="C589" s="2" t="s">
        <v>1266</v>
      </c>
      <c r="D589" s="2" t="s">
        <v>3091</v>
      </c>
      <c r="E589" s="2" t="s">
        <v>3776</v>
      </c>
      <c r="F589" s="4" t="s">
        <v>3299</v>
      </c>
    </row>
    <row r="590" spans="1:6" x14ac:dyDescent="0.3">
      <c r="A590" s="3" t="s">
        <v>2671</v>
      </c>
      <c r="B590" s="2" t="s">
        <v>3102</v>
      </c>
      <c r="C590" s="2" t="s">
        <v>1268</v>
      </c>
      <c r="D590" s="2" t="s">
        <v>3103</v>
      </c>
      <c r="E590" s="2" t="s">
        <v>3777</v>
      </c>
      <c r="F590" s="4" t="s">
        <v>3301</v>
      </c>
    </row>
    <row r="591" spans="1:6" x14ac:dyDescent="0.3">
      <c r="A591" s="3" t="s">
        <v>2672</v>
      </c>
      <c r="B591" s="2" t="s">
        <v>3122</v>
      </c>
      <c r="C591" s="2" t="s">
        <v>1270</v>
      </c>
      <c r="D591" s="2" t="s">
        <v>3123</v>
      </c>
      <c r="E591" s="2" t="s">
        <v>3778</v>
      </c>
      <c r="F591" s="4" t="s">
        <v>3303</v>
      </c>
    </row>
    <row r="592" spans="1:6" x14ac:dyDescent="0.3">
      <c r="A592" s="3" t="s">
        <v>2673</v>
      </c>
      <c r="B592" s="2" t="s">
        <v>3217</v>
      </c>
      <c r="C592" s="2" t="s">
        <v>1272</v>
      </c>
      <c r="D592" s="2" t="s">
        <v>3218</v>
      </c>
      <c r="E592" s="2" t="s">
        <v>3779</v>
      </c>
      <c r="F592" s="4" t="s">
        <v>3305</v>
      </c>
    </row>
    <row r="593" spans="1:6" x14ac:dyDescent="0.3">
      <c r="A593" s="3" t="s">
        <v>2674</v>
      </c>
      <c r="B593" s="2" t="s">
        <v>3168</v>
      </c>
      <c r="C593" s="2" t="s">
        <v>1274</v>
      </c>
      <c r="D593" s="2" t="s">
        <v>3169</v>
      </c>
      <c r="E593" s="2" t="s">
        <v>3780</v>
      </c>
      <c r="F593" s="4" t="s">
        <v>3307</v>
      </c>
    </row>
    <row r="594" spans="1:6" x14ac:dyDescent="0.3">
      <c r="A594" s="3" t="s">
        <v>2675</v>
      </c>
      <c r="B594" s="2" t="s">
        <v>3213</v>
      </c>
      <c r="C594" s="2" t="s">
        <v>1276</v>
      </c>
      <c r="D594" s="2" t="s">
        <v>3214</v>
      </c>
      <c r="E594" s="2" t="s">
        <v>3781</v>
      </c>
      <c r="F594" s="4" t="s">
        <v>3309</v>
      </c>
    </row>
    <row r="595" spans="1:6" x14ac:dyDescent="0.3">
      <c r="A595" s="3" t="s">
        <v>2676</v>
      </c>
      <c r="B595" s="2" t="s">
        <v>3090</v>
      </c>
      <c r="C595" s="2" t="s">
        <v>1278</v>
      </c>
      <c r="D595" s="2" t="s">
        <v>3091</v>
      </c>
      <c r="E595" s="2" t="s">
        <v>3328</v>
      </c>
      <c r="F595" s="4" t="s">
        <v>3311</v>
      </c>
    </row>
    <row r="596" spans="1:6" x14ac:dyDescent="0.3">
      <c r="A596" s="3" t="s">
        <v>2677</v>
      </c>
      <c r="B596" s="2" t="s">
        <v>3168</v>
      </c>
      <c r="C596" s="2" t="s">
        <v>1280</v>
      </c>
      <c r="D596" s="2" t="s">
        <v>3169</v>
      </c>
      <c r="E596" s="2" t="s">
        <v>3782</v>
      </c>
      <c r="F596" s="4" t="s">
        <v>3313</v>
      </c>
    </row>
    <row r="597" spans="1:6" x14ac:dyDescent="0.3">
      <c r="A597" s="3" t="s">
        <v>2678</v>
      </c>
      <c r="B597" s="2" t="s">
        <v>3085</v>
      </c>
      <c r="C597" s="2" t="s">
        <v>1282</v>
      </c>
      <c r="D597" s="2" t="s">
        <v>3087</v>
      </c>
      <c r="E597" s="2" t="s">
        <v>3783</v>
      </c>
      <c r="F597" s="4" t="s">
        <v>3315</v>
      </c>
    </row>
    <row r="598" spans="1:6" x14ac:dyDescent="0.3">
      <c r="A598" s="3" t="s">
        <v>2679</v>
      </c>
      <c r="B598" s="2" t="s">
        <v>3176</v>
      </c>
      <c r="C598" s="2" t="s">
        <v>1284</v>
      </c>
      <c r="D598" s="2" t="s">
        <v>3177</v>
      </c>
      <c r="E598" s="2" t="s">
        <v>3784</v>
      </c>
      <c r="F598" s="4" t="s">
        <v>3317</v>
      </c>
    </row>
    <row r="599" spans="1:6" x14ac:dyDescent="0.3">
      <c r="A599" s="3" t="s">
        <v>2680</v>
      </c>
      <c r="B599" s="2" t="s">
        <v>3122</v>
      </c>
      <c r="C599" s="2" t="s">
        <v>1286</v>
      </c>
      <c r="D599" s="2" t="s">
        <v>3123</v>
      </c>
      <c r="E599" s="2" t="s">
        <v>3785</v>
      </c>
      <c r="F599" s="4" t="s">
        <v>3319</v>
      </c>
    </row>
    <row r="600" spans="1:6" x14ac:dyDescent="0.3">
      <c r="A600" s="3" t="s">
        <v>2681</v>
      </c>
      <c r="B600" s="2" t="s">
        <v>3180</v>
      </c>
      <c r="C600" s="2" t="s">
        <v>1288</v>
      </c>
      <c r="D600" s="2" t="s">
        <v>3181</v>
      </c>
      <c r="E600" s="2" t="s">
        <v>3786</v>
      </c>
      <c r="F600" s="4" t="s">
        <v>3321</v>
      </c>
    </row>
    <row r="601" spans="1:6" x14ac:dyDescent="0.3">
      <c r="A601" s="3" t="s">
        <v>2682</v>
      </c>
      <c r="B601" s="2" t="s">
        <v>3229</v>
      </c>
      <c r="C601" s="2" t="s">
        <v>1290</v>
      </c>
      <c r="D601" s="2" t="s">
        <v>3230</v>
      </c>
      <c r="E601" s="2" t="s">
        <v>3787</v>
      </c>
      <c r="F601" s="4" t="s">
        <v>3323</v>
      </c>
    </row>
    <row r="602" spans="1:6" x14ac:dyDescent="0.3">
      <c r="A602" s="3" t="s">
        <v>2683</v>
      </c>
      <c r="B602" s="2" t="s">
        <v>3168</v>
      </c>
      <c r="C602" s="2" t="s">
        <v>1292</v>
      </c>
      <c r="D602" s="2" t="s">
        <v>3169</v>
      </c>
      <c r="E602" s="2" t="s">
        <v>3788</v>
      </c>
      <c r="F602" s="4" t="s">
        <v>3325</v>
      </c>
    </row>
    <row r="603" spans="1:6" x14ac:dyDescent="0.3">
      <c r="A603" s="3" t="s">
        <v>2684</v>
      </c>
      <c r="B603" s="2" t="s">
        <v>3112</v>
      </c>
      <c r="C603" s="2" t="s">
        <v>1294</v>
      </c>
      <c r="D603" s="2" t="s">
        <v>64</v>
      </c>
      <c r="E603" s="2" t="s">
        <v>3789</v>
      </c>
      <c r="F603" s="4" t="s">
        <v>3089</v>
      </c>
    </row>
    <row r="604" spans="1:6" x14ac:dyDescent="0.3">
      <c r="A604" s="3" t="s">
        <v>2685</v>
      </c>
      <c r="B604" s="2" t="s">
        <v>3154</v>
      </c>
      <c r="C604" s="2" t="s">
        <v>1296</v>
      </c>
      <c r="D604" s="2" t="s">
        <v>3155</v>
      </c>
      <c r="E604" s="2" t="s">
        <v>3790</v>
      </c>
      <c r="F604" s="4" t="s">
        <v>3096</v>
      </c>
    </row>
    <row r="605" spans="1:6" x14ac:dyDescent="0.3">
      <c r="A605" s="3" t="s">
        <v>2686</v>
      </c>
      <c r="B605" s="2" t="s">
        <v>3106</v>
      </c>
      <c r="C605" s="2" t="s">
        <v>1298</v>
      </c>
      <c r="D605" s="2" t="s">
        <v>3107</v>
      </c>
      <c r="E605" s="2" t="s">
        <v>3791</v>
      </c>
      <c r="F605" s="4" t="s">
        <v>3098</v>
      </c>
    </row>
    <row r="606" spans="1:6" x14ac:dyDescent="0.3">
      <c r="A606" s="3" t="s">
        <v>2687</v>
      </c>
      <c r="B606" s="2" t="s">
        <v>3154</v>
      </c>
      <c r="C606" s="2" t="s">
        <v>1300</v>
      </c>
      <c r="D606" s="2" t="s">
        <v>3155</v>
      </c>
      <c r="E606" s="2" t="s">
        <v>3792</v>
      </c>
      <c r="F606" s="4" t="s">
        <v>3101</v>
      </c>
    </row>
    <row r="607" spans="1:6" x14ac:dyDescent="0.3">
      <c r="A607" s="3" t="s">
        <v>2688</v>
      </c>
      <c r="B607" s="2" t="s">
        <v>3133</v>
      </c>
      <c r="C607" s="2" t="s">
        <v>1302</v>
      </c>
      <c r="D607" s="2" t="s">
        <v>3134</v>
      </c>
      <c r="E607" s="2" t="s">
        <v>3793</v>
      </c>
      <c r="F607" s="4" t="s">
        <v>3105</v>
      </c>
    </row>
    <row r="608" spans="1:6" x14ac:dyDescent="0.3">
      <c r="A608" s="3" t="s">
        <v>2689</v>
      </c>
      <c r="B608" s="2" t="s">
        <v>3085</v>
      </c>
      <c r="C608" s="2" t="s">
        <v>1304</v>
      </c>
      <c r="D608" s="2" t="s">
        <v>3087</v>
      </c>
      <c r="E608" s="2" t="s">
        <v>3794</v>
      </c>
      <c r="F608" s="4" t="s">
        <v>3109</v>
      </c>
    </row>
    <row r="609" spans="1:6" x14ac:dyDescent="0.3">
      <c r="A609" s="3" t="s">
        <v>2690</v>
      </c>
      <c r="B609" s="2" t="s">
        <v>3150</v>
      </c>
      <c r="C609" s="2" t="s">
        <v>1306</v>
      </c>
      <c r="D609" s="2" t="s">
        <v>3151</v>
      </c>
      <c r="E609" s="2" t="s">
        <v>3795</v>
      </c>
      <c r="F609" s="4" t="s">
        <v>3111</v>
      </c>
    </row>
    <row r="610" spans="1:6" x14ac:dyDescent="0.3">
      <c r="A610" s="3" t="s">
        <v>2691</v>
      </c>
      <c r="B610" s="2" t="s">
        <v>3115</v>
      </c>
      <c r="C610" s="2" t="s">
        <v>1308</v>
      </c>
      <c r="D610" s="2" t="s">
        <v>3116</v>
      </c>
      <c r="E610" s="2" t="s">
        <v>3736</v>
      </c>
      <c r="F610" s="4" t="s">
        <v>3114</v>
      </c>
    </row>
    <row r="611" spans="1:6" x14ac:dyDescent="0.3">
      <c r="A611" s="3" t="s">
        <v>2692</v>
      </c>
      <c r="B611" s="2" t="s">
        <v>3168</v>
      </c>
      <c r="C611" s="2" t="s">
        <v>1310</v>
      </c>
      <c r="D611" s="2" t="s">
        <v>3169</v>
      </c>
      <c r="E611" s="2" t="s">
        <v>3796</v>
      </c>
      <c r="F611" s="4" t="s">
        <v>3118</v>
      </c>
    </row>
    <row r="612" spans="1:6" x14ac:dyDescent="0.3">
      <c r="A612" s="3" t="s">
        <v>2693</v>
      </c>
      <c r="B612" s="2" t="s">
        <v>3154</v>
      </c>
      <c r="C612" s="2" t="s">
        <v>1312</v>
      </c>
      <c r="D612" s="2" t="s">
        <v>3155</v>
      </c>
      <c r="E612" s="2" t="s">
        <v>3797</v>
      </c>
      <c r="F612" s="4" t="s">
        <v>3121</v>
      </c>
    </row>
    <row r="613" spans="1:6" x14ac:dyDescent="0.3">
      <c r="A613" s="3" t="s">
        <v>2694</v>
      </c>
      <c r="B613" s="2" t="s">
        <v>3085</v>
      </c>
      <c r="C613" s="2" t="s">
        <v>1314</v>
      </c>
      <c r="D613" s="2" t="s">
        <v>3087</v>
      </c>
      <c r="E613" s="2" t="s">
        <v>3798</v>
      </c>
      <c r="F613" s="4" t="s">
        <v>3125</v>
      </c>
    </row>
    <row r="614" spans="1:6" x14ac:dyDescent="0.3">
      <c r="A614" s="3" t="s">
        <v>2695</v>
      </c>
      <c r="B614" s="2" t="s">
        <v>3133</v>
      </c>
      <c r="C614" s="2" t="s">
        <v>1316</v>
      </c>
      <c r="D614" s="2" t="s">
        <v>3134</v>
      </c>
      <c r="E614" s="2" t="s">
        <v>3799</v>
      </c>
      <c r="F614" s="4" t="s">
        <v>3127</v>
      </c>
    </row>
    <row r="615" spans="1:6" x14ac:dyDescent="0.3">
      <c r="A615" s="3" t="s">
        <v>2696</v>
      </c>
      <c r="B615" s="2" t="s">
        <v>3154</v>
      </c>
      <c r="C615" s="2" t="s">
        <v>1318</v>
      </c>
      <c r="D615" s="2" t="s">
        <v>3155</v>
      </c>
      <c r="E615" s="2" t="s">
        <v>3800</v>
      </c>
      <c r="F615" s="4" t="s">
        <v>3130</v>
      </c>
    </row>
    <row r="616" spans="1:6" x14ac:dyDescent="0.3">
      <c r="A616" s="3" t="s">
        <v>2697</v>
      </c>
      <c r="B616" s="2" t="s">
        <v>3102</v>
      </c>
      <c r="C616" s="2" t="s">
        <v>1320</v>
      </c>
      <c r="D616" s="2" t="s">
        <v>3103</v>
      </c>
      <c r="E616" s="2" t="s">
        <v>3801</v>
      </c>
      <c r="F616" s="4" t="s">
        <v>3132</v>
      </c>
    </row>
    <row r="617" spans="1:6" x14ac:dyDescent="0.3">
      <c r="A617" s="3" t="s">
        <v>2698</v>
      </c>
      <c r="B617" s="2" t="s">
        <v>3106</v>
      </c>
      <c r="C617" s="2" t="s">
        <v>1322</v>
      </c>
      <c r="D617" s="2" t="s">
        <v>3107</v>
      </c>
      <c r="E617" s="2" t="s">
        <v>3802</v>
      </c>
      <c r="F617" s="4" t="s">
        <v>3136</v>
      </c>
    </row>
    <row r="618" spans="1:6" x14ac:dyDescent="0.3">
      <c r="A618" s="3" t="s">
        <v>2699</v>
      </c>
      <c r="B618" s="2" t="s">
        <v>3115</v>
      </c>
      <c r="C618" s="2" t="s">
        <v>1324</v>
      </c>
      <c r="D618" s="2" t="s">
        <v>3116</v>
      </c>
      <c r="E618" s="2" t="s">
        <v>3803</v>
      </c>
      <c r="F618" s="4" t="s">
        <v>3138</v>
      </c>
    </row>
    <row r="619" spans="1:6" x14ac:dyDescent="0.3">
      <c r="A619" s="3" t="s">
        <v>2700</v>
      </c>
      <c r="B619" s="2" t="s">
        <v>3164</v>
      </c>
      <c r="C619" s="2" t="s">
        <v>1326</v>
      </c>
      <c r="D619" s="2" t="s">
        <v>3165</v>
      </c>
      <c r="E619" s="2" t="s">
        <v>3804</v>
      </c>
      <c r="F619" s="4" t="s">
        <v>3141</v>
      </c>
    </row>
    <row r="620" spans="1:6" x14ac:dyDescent="0.3">
      <c r="A620" s="3" t="s">
        <v>2701</v>
      </c>
      <c r="B620" s="2" t="s">
        <v>3194</v>
      </c>
      <c r="C620" s="2" t="s">
        <v>1328</v>
      </c>
      <c r="D620" s="2" t="s">
        <v>3155</v>
      </c>
      <c r="E620" s="2" t="s">
        <v>3805</v>
      </c>
      <c r="F620" s="4" t="s">
        <v>3143</v>
      </c>
    </row>
    <row r="621" spans="1:6" x14ac:dyDescent="0.3">
      <c r="A621" s="3" t="s">
        <v>2702</v>
      </c>
      <c r="B621" s="2" t="s">
        <v>3090</v>
      </c>
      <c r="C621" s="2" t="s">
        <v>1330</v>
      </c>
      <c r="D621" s="2" t="s">
        <v>3091</v>
      </c>
      <c r="E621" s="2" t="s">
        <v>3806</v>
      </c>
      <c r="F621" s="4" t="s">
        <v>3145</v>
      </c>
    </row>
    <row r="622" spans="1:6" x14ac:dyDescent="0.3">
      <c r="A622" s="3" t="s">
        <v>2703</v>
      </c>
      <c r="B622" s="2" t="s">
        <v>3180</v>
      </c>
      <c r="C622" s="2" t="s">
        <v>1332</v>
      </c>
      <c r="D622" s="2" t="s">
        <v>3181</v>
      </c>
      <c r="E622" s="2" t="s">
        <v>3807</v>
      </c>
      <c r="F622" s="4" t="s">
        <v>3147</v>
      </c>
    </row>
    <row r="623" spans="1:6" x14ac:dyDescent="0.3">
      <c r="A623" s="3" t="s">
        <v>2704</v>
      </c>
      <c r="B623" s="2" t="s">
        <v>3217</v>
      </c>
      <c r="C623" s="2" t="s">
        <v>1334</v>
      </c>
      <c r="D623" s="2" t="s">
        <v>3218</v>
      </c>
      <c r="E623" s="2" t="s">
        <v>3808</v>
      </c>
      <c r="F623" s="4" t="s">
        <v>3149</v>
      </c>
    </row>
    <row r="624" spans="1:6" x14ac:dyDescent="0.3">
      <c r="A624" s="3" t="s">
        <v>2705</v>
      </c>
      <c r="B624" s="2" t="s">
        <v>3119</v>
      </c>
      <c r="C624" s="2" t="s">
        <v>1336</v>
      </c>
      <c r="D624" s="2" t="s">
        <v>75</v>
      </c>
      <c r="E624" s="2" t="s">
        <v>3809</v>
      </c>
      <c r="F624" s="4" t="s">
        <v>3153</v>
      </c>
    </row>
    <row r="625" spans="1:6" x14ac:dyDescent="0.3">
      <c r="A625" s="3" t="s">
        <v>2706</v>
      </c>
      <c r="B625" s="2" t="s">
        <v>3213</v>
      </c>
      <c r="C625" s="2" t="s">
        <v>1338</v>
      </c>
      <c r="D625" s="2" t="s">
        <v>3214</v>
      </c>
      <c r="E625" s="2" t="s">
        <v>3810</v>
      </c>
      <c r="F625" s="4" t="s">
        <v>3157</v>
      </c>
    </row>
    <row r="626" spans="1:6" x14ac:dyDescent="0.3">
      <c r="A626" s="3" t="s">
        <v>2707</v>
      </c>
      <c r="B626" s="2" t="s">
        <v>3229</v>
      </c>
      <c r="C626" s="2" t="s">
        <v>1340</v>
      </c>
      <c r="D626" s="2" t="s">
        <v>3230</v>
      </c>
      <c r="E626" s="2" t="s">
        <v>3811</v>
      </c>
      <c r="F626" s="4" t="s">
        <v>3159</v>
      </c>
    </row>
    <row r="627" spans="1:6" x14ac:dyDescent="0.3">
      <c r="A627" s="3" t="s">
        <v>2708</v>
      </c>
      <c r="B627" s="2" t="s">
        <v>3090</v>
      </c>
      <c r="C627" s="2" t="s">
        <v>1342</v>
      </c>
      <c r="D627" s="2" t="s">
        <v>3091</v>
      </c>
      <c r="E627" s="2" t="s">
        <v>3812</v>
      </c>
      <c r="F627" s="4" t="s">
        <v>3161</v>
      </c>
    </row>
    <row r="628" spans="1:6" x14ac:dyDescent="0.3">
      <c r="A628" s="3" t="s">
        <v>2709</v>
      </c>
      <c r="B628" s="2" t="s">
        <v>3085</v>
      </c>
      <c r="C628" s="2" t="s">
        <v>1344</v>
      </c>
      <c r="D628" s="2" t="s">
        <v>3087</v>
      </c>
      <c r="E628" s="2" t="s">
        <v>3813</v>
      </c>
      <c r="F628" s="4" t="s">
        <v>3163</v>
      </c>
    </row>
    <row r="629" spans="1:6" x14ac:dyDescent="0.3">
      <c r="A629" s="3" t="s">
        <v>2710</v>
      </c>
      <c r="B629" s="2" t="s">
        <v>3176</v>
      </c>
      <c r="C629" s="2" t="s">
        <v>1346</v>
      </c>
      <c r="D629" s="2" t="s">
        <v>3177</v>
      </c>
      <c r="E629" s="2" t="s">
        <v>3814</v>
      </c>
      <c r="F629" s="4" t="s">
        <v>3167</v>
      </c>
    </row>
    <row r="630" spans="1:6" x14ac:dyDescent="0.3">
      <c r="A630" s="3" t="s">
        <v>2711</v>
      </c>
      <c r="B630" s="2" t="s">
        <v>3194</v>
      </c>
      <c r="C630" s="2" t="s">
        <v>1348</v>
      </c>
      <c r="D630" s="2" t="s">
        <v>3155</v>
      </c>
      <c r="E630" s="2" t="s">
        <v>3426</v>
      </c>
      <c r="F630" s="4" t="s">
        <v>3171</v>
      </c>
    </row>
    <row r="631" spans="1:6" x14ac:dyDescent="0.3">
      <c r="A631" s="3" t="s">
        <v>2712</v>
      </c>
      <c r="B631" s="2" t="s">
        <v>3115</v>
      </c>
      <c r="C631" s="2" t="s">
        <v>1350</v>
      </c>
      <c r="D631" s="2" t="s">
        <v>3116</v>
      </c>
      <c r="E631" s="2" t="s">
        <v>3815</v>
      </c>
      <c r="F631" s="4" t="s">
        <v>3173</v>
      </c>
    </row>
    <row r="632" spans="1:6" x14ac:dyDescent="0.3">
      <c r="A632" s="3" t="s">
        <v>2713</v>
      </c>
      <c r="B632" s="2" t="s">
        <v>3168</v>
      </c>
      <c r="C632" s="2" t="s">
        <v>1352</v>
      </c>
      <c r="D632" s="2" t="s">
        <v>3169</v>
      </c>
      <c r="E632" s="2" t="s">
        <v>3816</v>
      </c>
      <c r="F632" s="4" t="s">
        <v>3175</v>
      </c>
    </row>
    <row r="633" spans="1:6" x14ac:dyDescent="0.3">
      <c r="A633" s="3" t="s">
        <v>2714</v>
      </c>
      <c r="B633" s="2" t="s">
        <v>3154</v>
      </c>
      <c r="C633" s="2" t="s">
        <v>1354</v>
      </c>
      <c r="D633" s="2" t="s">
        <v>3155</v>
      </c>
      <c r="E633" s="2" t="s">
        <v>3817</v>
      </c>
      <c r="F633" s="4" t="s">
        <v>3179</v>
      </c>
    </row>
    <row r="634" spans="1:6" x14ac:dyDescent="0.3">
      <c r="A634" s="3" t="s">
        <v>2715</v>
      </c>
      <c r="B634" s="2" t="s">
        <v>3176</v>
      </c>
      <c r="C634" s="2" t="s">
        <v>1356</v>
      </c>
      <c r="D634" s="2" t="s">
        <v>3177</v>
      </c>
      <c r="E634" s="2" t="s">
        <v>3382</v>
      </c>
      <c r="F634" s="4" t="s">
        <v>3183</v>
      </c>
    </row>
    <row r="635" spans="1:6" x14ac:dyDescent="0.3">
      <c r="A635" s="3" t="s">
        <v>2716</v>
      </c>
      <c r="B635" s="2" t="s">
        <v>3102</v>
      </c>
      <c r="C635" s="2" t="s">
        <v>1358</v>
      </c>
      <c r="D635" s="2" t="s">
        <v>3103</v>
      </c>
      <c r="E635" s="2" t="s">
        <v>3818</v>
      </c>
      <c r="F635" s="4" t="s">
        <v>3185</v>
      </c>
    </row>
    <row r="636" spans="1:6" x14ac:dyDescent="0.3">
      <c r="A636" s="3" t="s">
        <v>2717</v>
      </c>
      <c r="B636" s="2" t="s">
        <v>3213</v>
      </c>
      <c r="C636" s="2" t="s">
        <v>1360</v>
      </c>
      <c r="D636" s="2" t="s">
        <v>3214</v>
      </c>
      <c r="E636" s="2" t="s">
        <v>3819</v>
      </c>
      <c r="F636" s="4" t="s">
        <v>3187</v>
      </c>
    </row>
    <row r="637" spans="1:6" x14ac:dyDescent="0.3">
      <c r="A637" s="3" t="s">
        <v>2718</v>
      </c>
      <c r="B637" s="2" t="s">
        <v>3229</v>
      </c>
      <c r="C637" s="2" t="s">
        <v>1362</v>
      </c>
      <c r="D637" s="2" t="s">
        <v>3230</v>
      </c>
      <c r="E637" s="2" t="s">
        <v>3820</v>
      </c>
      <c r="F637" s="4" t="s">
        <v>3189</v>
      </c>
    </row>
    <row r="638" spans="1:6" x14ac:dyDescent="0.3">
      <c r="A638" s="3" t="s">
        <v>2719</v>
      </c>
      <c r="B638" s="2" t="s">
        <v>3102</v>
      </c>
      <c r="C638" s="2" t="s">
        <v>1364</v>
      </c>
      <c r="D638" s="2" t="s">
        <v>3103</v>
      </c>
      <c r="E638" s="2" t="s">
        <v>3821</v>
      </c>
      <c r="F638" s="4" t="s">
        <v>3191</v>
      </c>
    </row>
    <row r="639" spans="1:6" x14ac:dyDescent="0.3">
      <c r="A639" s="3" t="s">
        <v>2720</v>
      </c>
      <c r="B639" s="2" t="s">
        <v>3090</v>
      </c>
      <c r="C639" s="2" t="s">
        <v>1366</v>
      </c>
      <c r="D639" s="2" t="s">
        <v>3091</v>
      </c>
      <c r="E639" s="2" t="s">
        <v>3822</v>
      </c>
      <c r="F639" s="4" t="s">
        <v>3193</v>
      </c>
    </row>
    <row r="640" spans="1:6" x14ac:dyDescent="0.3">
      <c r="A640" s="3" t="s">
        <v>2721</v>
      </c>
      <c r="B640" s="2" t="s">
        <v>3217</v>
      </c>
      <c r="C640" s="2" t="s">
        <v>1368</v>
      </c>
      <c r="D640" s="2" t="s">
        <v>3218</v>
      </c>
      <c r="E640" s="2" t="s">
        <v>3823</v>
      </c>
      <c r="F640" s="4" t="s">
        <v>3196</v>
      </c>
    </row>
    <row r="641" spans="1:6" x14ac:dyDescent="0.3">
      <c r="A641" s="3" t="s">
        <v>2722</v>
      </c>
      <c r="B641" s="2" t="s">
        <v>3217</v>
      </c>
      <c r="C641" s="2" t="s">
        <v>1370</v>
      </c>
      <c r="D641" s="2" t="s">
        <v>3218</v>
      </c>
      <c r="E641" s="2" t="s">
        <v>3824</v>
      </c>
      <c r="F641" s="4" t="s">
        <v>3198</v>
      </c>
    </row>
    <row r="642" spans="1:6" x14ac:dyDescent="0.3">
      <c r="A642" s="3" t="s">
        <v>2723</v>
      </c>
      <c r="B642" s="2" t="s">
        <v>3133</v>
      </c>
      <c r="C642" s="2" t="s">
        <v>1372</v>
      </c>
      <c r="D642" s="2" t="s">
        <v>3134</v>
      </c>
      <c r="E642" s="2" t="s">
        <v>3825</v>
      </c>
      <c r="F642" s="4" t="s">
        <v>3200</v>
      </c>
    </row>
    <row r="643" spans="1:6" x14ac:dyDescent="0.3">
      <c r="A643" s="3" t="s">
        <v>2724</v>
      </c>
      <c r="B643" s="2" t="s">
        <v>3217</v>
      </c>
      <c r="C643" s="2" t="s">
        <v>1374</v>
      </c>
      <c r="D643" s="2" t="s">
        <v>3218</v>
      </c>
      <c r="E643" s="2" t="s">
        <v>3826</v>
      </c>
      <c r="F643" s="4" t="s">
        <v>3202</v>
      </c>
    </row>
    <row r="644" spans="1:6" x14ac:dyDescent="0.3">
      <c r="A644" s="3" t="s">
        <v>2725</v>
      </c>
      <c r="B644" s="2" t="s">
        <v>3090</v>
      </c>
      <c r="C644" s="2" t="s">
        <v>1376</v>
      </c>
      <c r="D644" s="2" t="s">
        <v>3091</v>
      </c>
      <c r="E644" s="2" t="s">
        <v>3827</v>
      </c>
      <c r="F644" s="4" t="s">
        <v>3204</v>
      </c>
    </row>
    <row r="645" spans="1:6" x14ac:dyDescent="0.3">
      <c r="A645" s="3" t="s">
        <v>2726</v>
      </c>
      <c r="B645" s="2" t="s">
        <v>3093</v>
      </c>
      <c r="C645" s="2" t="s">
        <v>1378</v>
      </c>
      <c r="D645" s="2" t="s">
        <v>3094</v>
      </c>
      <c r="E645" s="2" t="s">
        <v>3828</v>
      </c>
      <c r="F645" s="4" t="s">
        <v>3206</v>
      </c>
    </row>
    <row r="646" spans="1:6" x14ac:dyDescent="0.3">
      <c r="A646" s="3" t="s">
        <v>2727</v>
      </c>
      <c r="B646" s="2" t="s">
        <v>3217</v>
      </c>
      <c r="C646" s="2" t="s">
        <v>1380</v>
      </c>
      <c r="D646" s="2" t="s">
        <v>3218</v>
      </c>
      <c r="E646" s="2" t="s">
        <v>3829</v>
      </c>
      <c r="F646" s="4" t="s">
        <v>3208</v>
      </c>
    </row>
    <row r="647" spans="1:6" x14ac:dyDescent="0.3">
      <c r="A647" s="3" t="s">
        <v>2728</v>
      </c>
      <c r="B647" s="2" t="s">
        <v>3194</v>
      </c>
      <c r="C647" s="2" t="s">
        <v>1382</v>
      </c>
      <c r="D647" s="2" t="s">
        <v>3155</v>
      </c>
      <c r="E647" s="2" t="s">
        <v>3830</v>
      </c>
      <c r="F647" s="4" t="s">
        <v>3210</v>
      </c>
    </row>
    <row r="648" spans="1:6" x14ac:dyDescent="0.3">
      <c r="A648" s="3" t="s">
        <v>2729</v>
      </c>
      <c r="B648" s="2" t="s">
        <v>3139</v>
      </c>
      <c r="C648" s="2" t="s">
        <v>1384</v>
      </c>
      <c r="D648" s="2" t="s">
        <v>3107</v>
      </c>
      <c r="E648" s="2" t="s">
        <v>3831</v>
      </c>
      <c r="F648" s="4" t="s">
        <v>3212</v>
      </c>
    </row>
    <row r="649" spans="1:6" x14ac:dyDescent="0.3">
      <c r="A649" s="3" t="s">
        <v>2730</v>
      </c>
      <c r="B649" s="2" t="s">
        <v>3093</v>
      </c>
      <c r="C649" s="2" t="s">
        <v>1386</v>
      </c>
      <c r="D649" s="2" t="s">
        <v>3094</v>
      </c>
      <c r="E649" s="2" t="s">
        <v>3832</v>
      </c>
      <c r="F649" s="4" t="s">
        <v>3216</v>
      </c>
    </row>
    <row r="650" spans="1:6" x14ac:dyDescent="0.3">
      <c r="A650" s="3" t="s">
        <v>2731</v>
      </c>
      <c r="B650" s="2" t="s">
        <v>3150</v>
      </c>
      <c r="C650" s="2" t="s">
        <v>1388</v>
      </c>
      <c r="D650" s="2" t="s">
        <v>3151</v>
      </c>
      <c r="E650" s="2" t="s">
        <v>3833</v>
      </c>
      <c r="F650" s="4" t="s">
        <v>3220</v>
      </c>
    </row>
    <row r="651" spans="1:6" x14ac:dyDescent="0.3">
      <c r="A651" s="3" t="s">
        <v>2732</v>
      </c>
      <c r="B651" s="2" t="s">
        <v>3090</v>
      </c>
      <c r="C651" s="2" t="s">
        <v>1390</v>
      </c>
      <c r="D651" s="2" t="s">
        <v>3091</v>
      </c>
      <c r="E651" s="2" t="s">
        <v>3834</v>
      </c>
      <c r="F651" s="4" t="s">
        <v>3222</v>
      </c>
    </row>
    <row r="652" spans="1:6" x14ac:dyDescent="0.3">
      <c r="A652" s="3" t="s">
        <v>2733</v>
      </c>
      <c r="B652" s="2" t="s">
        <v>3119</v>
      </c>
      <c r="C652" s="2" t="s">
        <v>1392</v>
      </c>
      <c r="D652" s="2" t="s">
        <v>75</v>
      </c>
      <c r="E652" s="2" t="s">
        <v>3835</v>
      </c>
      <c r="F652" s="4" t="s">
        <v>3224</v>
      </c>
    </row>
    <row r="653" spans="1:6" x14ac:dyDescent="0.3">
      <c r="A653" s="3" t="s">
        <v>2734</v>
      </c>
      <c r="B653" s="2" t="s">
        <v>3119</v>
      </c>
      <c r="C653" s="2" t="s">
        <v>1394</v>
      </c>
      <c r="D653" s="2" t="s">
        <v>75</v>
      </c>
      <c r="E653" s="2" t="s">
        <v>3836</v>
      </c>
      <c r="F653" s="4" t="s">
        <v>3226</v>
      </c>
    </row>
    <row r="654" spans="1:6" x14ac:dyDescent="0.3">
      <c r="A654" s="3" t="s">
        <v>2735</v>
      </c>
      <c r="B654" s="2" t="s">
        <v>3229</v>
      </c>
      <c r="C654" s="2" t="s">
        <v>1396</v>
      </c>
      <c r="D654" s="2" t="s">
        <v>3230</v>
      </c>
      <c r="E654" s="2" t="s">
        <v>3837</v>
      </c>
      <c r="F654" s="4" t="s">
        <v>3228</v>
      </c>
    </row>
    <row r="655" spans="1:6" x14ac:dyDescent="0.3">
      <c r="A655" s="3" t="s">
        <v>2736</v>
      </c>
      <c r="B655" s="2" t="s">
        <v>3093</v>
      </c>
      <c r="C655" s="2" t="s">
        <v>1398</v>
      </c>
      <c r="D655" s="2" t="s">
        <v>3094</v>
      </c>
      <c r="E655" s="2" t="s">
        <v>3838</v>
      </c>
      <c r="F655" s="4" t="s">
        <v>3232</v>
      </c>
    </row>
    <row r="656" spans="1:6" x14ac:dyDescent="0.3">
      <c r="A656" s="3" t="s">
        <v>2737</v>
      </c>
      <c r="B656" s="2" t="s">
        <v>3093</v>
      </c>
      <c r="C656" s="2" t="s">
        <v>1400</v>
      </c>
      <c r="D656" s="2" t="s">
        <v>3094</v>
      </c>
      <c r="E656" s="2" t="s">
        <v>3839</v>
      </c>
      <c r="F656" s="4" t="s">
        <v>3233</v>
      </c>
    </row>
    <row r="657" spans="1:6" x14ac:dyDescent="0.3">
      <c r="A657" s="3" t="s">
        <v>2738</v>
      </c>
      <c r="B657" s="2" t="s">
        <v>3168</v>
      </c>
      <c r="C657" s="2" t="s">
        <v>1402</v>
      </c>
      <c r="D657" s="2" t="s">
        <v>3169</v>
      </c>
      <c r="E657" s="2" t="s">
        <v>3840</v>
      </c>
      <c r="F657" s="4" t="s">
        <v>3235</v>
      </c>
    </row>
    <row r="658" spans="1:6" x14ac:dyDescent="0.3">
      <c r="A658" s="3" t="s">
        <v>2739</v>
      </c>
      <c r="B658" s="2" t="s">
        <v>3176</v>
      </c>
      <c r="C658" s="2" t="s">
        <v>1404</v>
      </c>
      <c r="D658" s="2" t="s">
        <v>3177</v>
      </c>
      <c r="E658" s="2" t="s">
        <v>3841</v>
      </c>
      <c r="F658" s="4" t="s">
        <v>3237</v>
      </c>
    </row>
    <row r="659" spans="1:6" x14ac:dyDescent="0.3">
      <c r="A659" s="3" t="s">
        <v>2740</v>
      </c>
      <c r="B659" s="2" t="s">
        <v>3093</v>
      </c>
      <c r="C659" s="2" t="s">
        <v>1406</v>
      </c>
      <c r="D659" s="2" t="s">
        <v>3094</v>
      </c>
      <c r="E659" s="2" t="s">
        <v>3842</v>
      </c>
      <c r="F659" s="4" t="s">
        <v>3239</v>
      </c>
    </row>
    <row r="660" spans="1:6" x14ac:dyDescent="0.3">
      <c r="A660" s="3" t="s">
        <v>2741</v>
      </c>
      <c r="B660" s="2" t="s">
        <v>3213</v>
      </c>
      <c r="C660" s="2" t="s">
        <v>1408</v>
      </c>
      <c r="D660" s="2" t="s">
        <v>3214</v>
      </c>
      <c r="E660" s="2" t="s">
        <v>3843</v>
      </c>
      <c r="F660" s="4" t="s">
        <v>3241</v>
      </c>
    </row>
    <row r="661" spans="1:6" x14ac:dyDescent="0.3">
      <c r="A661" s="3" t="s">
        <v>2742</v>
      </c>
      <c r="B661" s="2" t="s">
        <v>3168</v>
      </c>
      <c r="C661" s="2" t="s">
        <v>1410</v>
      </c>
      <c r="D661" s="2" t="s">
        <v>3169</v>
      </c>
      <c r="E661" s="2" t="s">
        <v>3844</v>
      </c>
      <c r="F661" s="4" t="s">
        <v>3243</v>
      </c>
    </row>
    <row r="662" spans="1:6" x14ac:dyDescent="0.3">
      <c r="A662" s="3" t="s">
        <v>2743</v>
      </c>
      <c r="B662" s="2" t="s">
        <v>3112</v>
      </c>
      <c r="C662" s="2" t="s">
        <v>1412</v>
      </c>
      <c r="D662" s="2" t="s">
        <v>64</v>
      </c>
      <c r="E662" s="2" t="s">
        <v>3845</v>
      </c>
      <c r="F662" s="4" t="s">
        <v>3245</v>
      </c>
    </row>
    <row r="663" spans="1:6" x14ac:dyDescent="0.3">
      <c r="A663" s="3" t="s">
        <v>2744</v>
      </c>
      <c r="B663" s="2" t="s">
        <v>3168</v>
      </c>
      <c r="C663" s="2" t="s">
        <v>1414</v>
      </c>
      <c r="D663" s="2" t="s">
        <v>3169</v>
      </c>
      <c r="E663" s="2" t="s">
        <v>3634</v>
      </c>
      <c r="F663" s="4" t="s">
        <v>3247</v>
      </c>
    </row>
    <row r="664" spans="1:6" x14ac:dyDescent="0.3">
      <c r="A664" s="3" t="s">
        <v>2745</v>
      </c>
      <c r="B664" s="2" t="s">
        <v>3102</v>
      </c>
      <c r="C664" s="2" t="s">
        <v>1416</v>
      </c>
      <c r="D664" s="2" t="s">
        <v>3103</v>
      </c>
      <c r="E664" s="2" t="s">
        <v>3846</v>
      </c>
      <c r="F664" s="4" t="s">
        <v>3249</v>
      </c>
    </row>
    <row r="665" spans="1:6" x14ac:dyDescent="0.3">
      <c r="A665" s="3" t="s">
        <v>2746</v>
      </c>
      <c r="B665" s="2" t="s">
        <v>3139</v>
      </c>
      <c r="C665" s="2" t="s">
        <v>1418</v>
      </c>
      <c r="D665" s="2" t="s">
        <v>3107</v>
      </c>
      <c r="E665" s="2" t="s">
        <v>3847</v>
      </c>
      <c r="F665" s="4" t="s">
        <v>3251</v>
      </c>
    </row>
    <row r="666" spans="1:6" x14ac:dyDescent="0.3">
      <c r="A666" s="3" t="s">
        <v>2747</v>
      </c>
      <c r="B666" s="2" t="s">
        <v>3102</v>
      </c>
      <c r="C666" s="2" t="s">
        <v>1420</v>
      </c>
      <c r="D666" s="2" t="s">
        <v>3103</v>
      </c>
      <c r="E666" s="2" t="s">
        <v>3848</v>
      </c>
      <c r="F666" s="4" t="s">
        <v>3253</v>
      </c>
    </row>
    <row r="667" spans="1:6" x14ac:dyDescent="0.3">
      <c r="A667" s="3" t="s">
        <v>2748</v>
      </c>
      <c r="B667" s="2" t="s">
        <v>3168</v>
      </c>
      <c r="C667" s="2" t="s">
        <v>1422</v>
      </c>
      <c r="D667" s="2" t="s">
        <v>3169</v>
      </c>
      <c r="E667" s="2" t="s">
        <v>3849</v>
      </c>
      <c r="F667" s="4" t="s">
        <v>3255</v>
      </c>
    </row>
    <row r="668" spans="1:6" x14ac:dyDescent="0.3">
      <c r="A668" s="3" t="s">
        <v>2749</v>
      </c>
      <c r="B668" s="2" t="s">
        <v>3154</v>
      </c>
      <c r="C668" s="2" t="s">
        <v>1424</v>
      </c>
      <c r="D668" s="2" t="s">
        <v>3155</v>
      </c>
      <c r="E668" s="2" t="s">
        <v>3850</v>
      </c>
      <c r="F668" s="4" t="s">
        <v>3257</v>
      </c>
    </row>
    <row r="669" spans="1:6" x14ac:dyDescent="0.3">
      <c r="A669" s="3" t="s">
        <v>2750</v>
      </c>
      <c r="B669" s="2" t="s">
        <v>3217</v>
      </c>
      <c r="C669" s="2" t="s">
        <v>1426</v>
      </c>
      <c r="D669" s="2" t="s">
        <v>3218</v>
      </c>
      <c r="E669" s="2" t="s">
        <v>3333</v>
      </c>
      <c r="F669" s="4" t="s">
        <v>3259</v>
      </c>
    </row>
    <row r="670" spans="1:6" x14ac:dyDescent="0.3">
      <c r="A670" s="3" t="s">
        <v>2751</v>
      </c>
      <c r="B670" s="2" t="s">
        <v>3119</v>
      </c>
      <c r="C670" s="2" t="s">
        <v>1428</v>
      </c>
      <c r="D670" s="2" t="s">
        <v>75</v>
      </c>
      <c r="E670" s="2" t="s">
        <v>3851</v>
      </c>
      <c r="F670" s="4" t="s">
        <v>3261</v>
      </c>
    </row>
    <row r="671" spans="1:6" x14ac:dyDescent="0.3">
      <c r="A671" s="3" t="s">
        <v>2752</v>
      </c>
      <c r="B671" s="2" t="s">
        <v>3168</v>
      </c>
      <c r="C671" s="2" t="s">
        <v>1430</v>
      </c>
      <c r="D671" s="2" t="s">
        <v>3169</v>
      </c>
      <c r="E671" s="2" t="s">
        <v>3852</v>
      </c>
      <c r="F671" s="4" t="s">
        <v>3263</v>
      </c>
    </row>
    <row r="672" spans="1:6" x14ac:dyDescent="0.3">
      <c r="A672" s="3" t="s">
        <v>2753</v>
      </c>
      <c r="B672" s="2" t="s">
        <v>3180</v>
      </c>
      <c r="C672" s="2" t="s">
        <v>1432</v>
      </c>
      <c r="D672" s="2" t="s">
        <v>3181</v>
      </c>
      <c r="E672" s="2" t="s">
        <v>3853</v>
      </c>
      <c r="F672" s="4" t="s">
        <v>3265</v>
      </c>
    </row>
    <row r="673" spans="1:6" x14ac:dyDescent="0.3">
      <c r="A673" s="3" t="s">
        <v>2754</v>
      </c>
      <c r="B673" s="2" t="s">
        <v>3154</v>
      </c>
      <c r="C673" s="2" t="s">
        <v>1434</v>
      </c>
      <c r="D673" s="2" t="s">
        <v>3155</v>
      </c>
      <c r="E673" s="2" t="s">
        <v>3104</v>
      </c>
      <c r="F673" s="4" t="s">
        <v>3267</v>
      </c>
    </row>
    <row r="674" spans="1:6" x14ac:dyDescent="0.3">
      <c r="A674" s="3" t="s">
        <v>2755</v>
      </c>
      <c r="B674" s="2" t="s">
        <v>3229</v>
      </c>
      <c r="C674" s="2" t="s">
        <v>1436</v>
      </c>
      <c r="D674" s="2" t="s">
        <v>3230</v>
      </c>
      <c r="E674" s="2" t="s">
        <v>3854</v>
      </c>
      <c r="F674" s="4" t="s">
        <v>3269</v>
      </c>
    </row>
    <row r="675" spans="1:6" x14ac:dyDescent="0.3">
      <c r="A675" s="3" t="s">
        <v>2756</v>
      </c>
      <c r="B675" s="2" t="s">
        <v>3180</v>
      </c>
      <c r="C675" s="2" t="s">
        <v>1438</v>
      </c>
      <c r="D675" s="2" t="s">
        <v>3181</v>
      </c>
      <c r="E675" s="2" t="s">
        <v>3855</v>
      </c>
      <c r="F675" s="4" t="s">
        <v>3271</v>
      </c>
    </row>
    <row r="676" spans="1:6" x14ac:dyDescent="0.3">
      <c r="A676" s="3" t="s">
        <v>2757</v>
      </c>
      <c r="B676" s="2" t="s">
        <v>3090</v>
      </c>
      <c r="C676" s="2" t="s">
        <v>1440</v>
      </c>
      <c r="D676" s="2" t="s">
        <v>3091</v>
      </c>
      <c r="E676" s="2" t="s">
        <v>3856</v>
      </c>
      <c r="F676" s="4" t="s">
        <v>3273</v>
      </c>
    </row>
    <row r="677" spans="1:6" x14ac:dyDescent="0.3">
      <c r="A677" s="3" t="s">
        <v>2758</v>
      </c>
      <c r="B677" s="2" t="s">
        <v>3112</v>
      </c>
      <c r="C677" s="2" t="s">
        <v>1442</v>
      </c>
      <c r="D677" s="2" t="s">
        <v>64</v>
      </c>
      <c r="E677" s="2" t="s">
        <v>3857</v>
      </c>
      <c r="F677" s="4" t="s">
        <v>3275</v>
      </c>
    </row>
    <row r="678" spans="1:6" x14ac:dyDescent="0.3">
      <c r="A678" s="3" t="s">
        <v>2759</v>
      </c>
      <c r="B678" s="2" t="s">
        <v>3229</v>
      </c>
      <c r="C678" s="2" t="s">
        <v>1444</v>
      </c>
      <c r="D678" s="2" t="s">
        <v>3230</v>
      </c>
      <c r="E678" s="2" t="s">
        <v>3858</v>
      </c>
      <c r="F678" s="4" t="s">
        <v>3277</v>
      </c>
    </row>
    <row r="679" spans="1:6" x14ac:dyDescent="0.3">
      <c r="A679" s="3" t="s">
        <v>2760</v>
      </c>
      <c r="B679" s="2" t="s">
        <v>3213</v>
      </c>
      <c r="C679" s="2" t="s">
        <v>1446</v>
      </c>
      <c r="D679" s="2" t="s">
        <v>3214</v>
      </c>
      <c r="E679" s="2" t="s">
        <v>3859</v>
      </c>
      <c r="F679" s="4" t="s">
        <v>3279</v>
      </c>
    </row>
    <row r="680" spans="1:6" x14ac:dyDescent="0.3">
      <c r="A680" s="3" t="s">
        <v>2761</v>
      </c>
      <c r="B680" s="2" t="s">
        <v>3176</v>
      </c>
      <c r="C680" s="2" t="s">
        <v>1448</v>
      </c>
      <c r="D680" s="2" t="s">
        <v>3177</v>
      </c>
      <c r="E680" s="2" t="s">
        <v>3860</v>
      </c>
      <c r="F680" s="4" t="s">
        <v>3281</v>
      </c>
    </row>
    <row r="681" spans="1:6" x14ac:dyDescent="0.3">
      <c r="A681" s="3" t="s">
        <v>2762</v>
      </c>
      <c r="B681" s="2" t="s">
        <v>3154</v>
      </c>
      <c r="C681" s="2" t="s">
        <v>1450</v>
      </c>
      <c r="D681" s="2" t="s">
        <v>3155</v>
      </c>
      <c r="E681" s="2" t="s">
        <v>3861</v>
      </c>
      <c r="F681" s="4" t="s">
        <v>3283</v>
      </c>
    </row>
    <row r="682" spans="1:6" x14ac:dyDescent="0.3">
      <c r="A682" s="3" t="s">
        <v>2763</v>
      </c>
      <c r="B682" s="2" t="s">
        <v>3102</v>
      </c>
      <c r="C682" s="2" t="s">
        <v>1452</v>
      </c>
      <c r="D682" s="2" t="s">
        <v>3103</v>
      </c>
      <c r="E682" s="2" t="s">
        <v>3862</v>
      </c>
      <c r="F682" s="4" t="s">
        <v>3285</v>
      </c>
    </row>
    <row r="683" spans="1:6" x14ac:dyDescent="0.3">
      <c r="A683" s="3" t="s">
        <v>2764</v>
      </c>
      <c r="B683" s="2" t="s">
        <v>3213</v>
      </c>
      <c r="C683" s="2" t="s">
        <v>1454</v>
      </c>
      <c r="D683" s="2" t="s">
        <v>3214</v>
      </c>
      <c r="E683" s="2" t="s">
        <v>3863</v>
      </c>
      <c r="F683" s="4" t="s">
        <v>3287</v>
      </c>
    </row>
    <row r="684" spans="1:6" x14ac:dyDescent="0.3">
      <c r="A684" s="3" t="s">
        <v>2765</v>
      </c>
      <c r="B684" s="2" t="s">
        <v>3217</v>
      </c>
      <c r="C684" s="2" t="s">
        <v>1456</v>
      </c>
      <c r="D684" s="2" t="s">
        <v>3218</v>
      </c>
      <c r="E684" s="2" t="s">
        <v>3864</v>
      </c>
      <c r="F684" s="4" t="s">
        <v>3289</v>
      </c>
    </row>
    <row r="685" spans="1:6" x14ac:dyDescent="0.3">
      <c r="A685" s="3" t="s">
        <v>2766</v>
      </c>
      <c r="B685" s="2" t="s">
        <v>3168</v>
      </c>
      <c r="C685" s="2" t="s">
        <v>1458</v>
      </c>
      <c r="D685" s="2" t="s">
        <v>3169</v>
      </c>
      <c r="E685" s="2" t="s">
        <v>3865</v>
      </c>
      <c r="F685" s="4" t="s">
        <v>3291</v>
      </c>
    </row>
    <row r="686" spans="1:6" x14ac:dyDescent="0.3">
      <c r="A686" s="3" t="s">
        <v>2767</v>
      </c>
      <c r="B686" s="2" t="s">
        <v>3133</v>
      </c>
      <c r="C686" s="2" t="s">
        <v>1460</v>
      </c>
      <c r="D686" s="2" t="s">
        <v>3134</v>
      </c>
      <c r="E686" s="2" t="s">
        <v>3866</v>
      </c>
      <c r="F686" s="4" t="s">
        <v>3293</v>
      </c>
    </row>
    <row r="687" spans="1:6" x14ac:dyDescent="0.3">
      <c r="A687" s="3" t="s">
        <v>2768</v>
      </c>
      <c r="B687" s="2" t="s">
        <v>3154</v>
      </c>
      <c r="C687" s="2" t="s">
        <v>1462</v>
      </c>
      <c r="D687" s="2" t="s">
        <v>3155</v>
      </c>
      <c r="E687" s="2" t="s">
        <v>3867</v>
      </c>
      <c r="F687" s="4" t="s">
        <v>3295</v>
      </c>
    </row>
    <row r="688" spans="1:6" x14ac:dyDescent="0.3">
      <c r="A688" s="3" t="s">
        <v>2769</v>
      </c>
      <c r="B688" s="2" t="s">
        <v>3093</v>
      </c>
      <c r="C688" s="2" t="s">
        <v>1464</v>
      </c>
      <c r="D688" s="2" t="s">
        <v>3094</v>
      </c>
      <c r="E688" s="2" t="s">
        <v>3868</v>
      </c>
      <c r="F688" s="4" t="s">
        <v>3297</v>
      </c>
    </row>
    <row r="689" spans="1:6" x14ac:dyDescent="0.3">
      <c r="A689" s="3" t="s">
        <v>2770</v>
      </c>
      <c r="B689" s="2" t="s">
        <v>3133</v>
      </c>
      <c r="C689" s="2" t="s">
        <v>1466</v>
      </c>
      <c r="D689" s="2" t="s">
        <v>3134</v>
      </c>
      <c r="E689" s="2" t="s">
        <v>3869</v>
      </c>
      <c r="F689" s="4" t="s">
        <v>3299</v>
      </c>
    </row>
    <row r="690" spans="1:6" x14ac:dyDescent="0.3">
      <c r="A690" s="3" t="s">
        <v>2771</v>
      </c>
      <c r="B690" s="2" t="s">
        <v>3213</v>
      </c>
      <c r="C690" s="2" t="s">
        <v>1468</v>
      </c>
      <c r="D690" s="2" t="s">
        <v>3214</v>
      </c>
      <c r="E690" s="2" t="s">
        <v>3870</v>
      </c>
      <c r="F690" s="4" t="s">
        <v>3301</v>
      </c>
    </row>
    <row r="691" spans="1:6" x14ac:dyDescent="0.3">
      <c r="A691" s="3" t="s">
        <v>2091</v>
      </c>
      <c r="B691" s="2" t="s">
        <v>3168</v>
      </c>
      <c r="C691" s="2" t="s">
        <v>46</v>
      </c>
      <c r="D691" s="2" t="s">
        <v>3169</v>
      </c>
      <c r="E691" s="2" t="s">
        <v>3104</v>
      </c>
      <c r="F691" s="4" t="s">
        <v>3303</v>
      </c>
    </row>
    <row r="692" spans="1:6" x14ac:dyDescent="0.3">
      <c r="A692" s="3" t="s">
        <v>2772</v>
      </c>
      <c r="B692" s="2" t="s">
        <v>3106</v>
      </c>
      <c r="C692" s="2" t="s">
        <v>1471</v>
      </c>
      <c r="D692" s="2" t="s">
        <v>3107</v>
      </c>
      <c r="E692" s="2" t="s">
        <v>3871</v>
      </c>
      <c r="F692" s="4" t="s">
        <v>3305</v>
      </c>
    </row>
    <row r="693" spans="1:6" x14ac:dyDescent="0.3">
      <c r="A693" s="3" t="s">
        <v>2773</v>
      </c>
      <c r="B693" s="2" t="s">
        <v>3164</v>
      </c>
      <c r="C693" s="2" t="s">
        <v>1473</v>
      </c>
      <c r="D693" s="2" t="s">
        <v>3165</v>
      </c>
      <c r="E693" s="2" t="s">
        <v>3872</v>
      </c>
      <c r="F693" s="4" t="s">
        <v>3307</v>
      </c>
    </row>
    <row r="694" spans="1:6" x14ac:dyDescent="0.3">
      <c r="A694" s="3" t="s">
        <v>2752</v>
      </c>
      <c r="B694" s="2" t="s">
        <v>3176</v>
      </c>
      <c r="C694" s="2" t="s">
        <v>1430</v>
      </c>
      <c r="D694" s="2" t="s">
        <v>3177</v>
      </c>
      <c r="E694" s="2" t="s">
        <v>3852</v>
      </c>
      <c r="F694" s="4" t="s">
        <v>3309</v>
      </c>
    </row>
    <row r="695" spans="1:6" x14ac:dyDescent="0.3">
      <c r="A695" s="3" t="s">
        <v>2774</v>
      </c>
      <c r="B695" s="2" t="s">
        <v>3093</v>
      </c>
      <c r="C695" s="2" t="s">
        <v>1476</v>
      </c>
      <c r="D695" s="2" t="s">
        <v>3094</v>
      </c>
      <c r="E695" s="2" t="s">
        <v>3574</v>
      </c>
      <c r="F695" s="4" t="s">
        <v>3311</v>
      </c>
    </row>
    <row r="696" spans="1:6" x14ac:dyDescent="0.3">
      <c r="A696" s="3" t="s">
        <v>2462</v>
      </c>
      <c r="B696" s="2" t="s">
        <v>3194</v>
      </c>
      <c r="C696" s="2" t="s">
        <v>848</v>
      </c>
      <c r="D696" s="2" t="s">
        <v>3155</v>
      </c>
      <c r="E696" s="2" t="s">
        <v>3517</v>
      </c>
      <c r="F696" s="4" t="s">
        <v>3313</v>
      </c>
    </row>
    <row r="697" spans="1:6" x14ac:dyDescent="0.3">
      <c r="A697" s="3" t="s">
        <v>2775</v>
      </c>
      <c r="B697" s="2" t="s">
        <v>3139</v>
      </c>
      <c r="C697" s="2" t="s">
        <v>1479</v>
      </c>
      <c r="D697" s="2" t="s">
        <v>3107</v>
      </c>
      <c r="E697" s="2" t="s">
        <v>3873</v>
      </c>
      <c r="F697" s="4" t="s">
        <v>3315</v>
      </c>
    </row>
    <row r="698" spans="1:6" x14ac:dyDescent="0.3">
      <c r="A698" s="3" t="s">
        <v>2776</v>
      </c>
      <c r="B698" s="2" t="s">
        <v>3229</v>
      </c>
      <c r="C698" s="2" t="s">
        <v>1481</v>
      </c>
      <c r="D698" s="2" t="s">
        <v>3230</v>
      </c>
      <c r="E698" s="2" t="s">
        <v>3874</v>
      </c>
      <c r="F698" s="4" t="s">
        <v>3317</v>
      </c>
    </row>
    <row r="699" spans="1:6" x14ac:dyDescent="0.3">
      <c r="A699" s="3" t="s">
        <v>2777</v>
      </c>
      <c r="B699" s="2" t="s">
        <v>3154</v>
      </c>
      <c r="C699" s="2" t="s">
        <v>1483</v>
      </c>
      <c r="D699" s="2" t="s">
        <v>3155</v>
      </c>
      <c r="E699" s="2" t="s">
        <v>3875</v>
      </c>
      <c r="F699" s="4" t="s">
        <v>3319</v>
      </c>
    </row>
    <row r="700" spans="1:6" x14ac:dyDescent="0.3">
      <c r="A700" s="3" t="s">
        <v>2778</v>
      </c>
      <c r="B700" s="2" t="s">
        <v>3112</v>
      </c>
      <c r="C700" s="2" t="s">
        <v>1485</v>
      </c>
      <c r="D700" s="2" t="s">
        <v>64</v>
      </c>
      <c r="E700" s="2" t="s">
        <v>3876</v>
      </c>
      <c r="F700" s="4" t="s">
        <v>3321</v>
      </c>
    </row>
    <row r="701" spans="1:6" x14ac:dyDescent="0.3">
      <c r="A701" s="3" t="s">
        <v>2779</v>
      </c>
      <c r="B701" s="2" t="s">
        <v>3213</v>
      </c>
      <c r="C701" s="2" t="s">
        <v>1487</v>
      </c>
      <c r="D701" s="2" t="s">
        <v>3214</v>
      </c>
      <c r="E701" s="2" t="s">
        <v>3877</v>
      </c>
      <c r="F701" s="4" t="s">
        <v>3323</v>
      </c>
    </row>
    <row r="702" spans="1:6" x14ac:dyDescent="0.3">
      <c r="A702" s="3" t="s">
        <v>2780</v>
      </c>
      <c r="B702" s="2" t="s">
        <v>3115</v>
      </c>
      <c r="C702" s="2" t="s">
        <v>1489</v>
      </c>
      <c r="D702" s="2" t="s">
        <v>3116</v>
      </c>
      <c r="E702" s="2" t="s">
        <v>3878</v>
      </c>
      <c r="F702" s="4" t="s">
        <v>3325</v>
      </c>
    </row>
    <row r="703" spans="1:6" x14ac:dyDescent="0.3">
      <c r="A703" s="3" t="s">
        <v>2781</v>
      </c>
      <c r="B703" s="2" t="s">
        <v>3164</v>
      </c>
      <c r="C703" s="2" t="s">
        <v>1491</v>
      </c>
      <c r="D703" s="2" t="s">
        <v>3165</v>
      </c>
      <c r="E703" s="2" t="s">
        <v>3879</v>
      </c>
      <c r="F703" s="4" t="s">
        <v>3089</v>
      </c>
    </row>
    <row r="704" spans="1:6" x14ac:dyDescent="0.3">
      <c r="A704" s="3" t="s">
        <v>2782</v>
      </c>
      <c r="B704" s="2" t="s">
        <v>3213</v>
      </c>
      <c r="C704" s="2" t="s">
        <v>1493</v>
      </c>
      <c r="D704" s="2" t="s">
        <v>3214</v>
      </c>
      <c r="E704" s="2" t="s">
        <v>3838</v>
      </c>
      <c r="F704" s="4" t="s">
        <v>3096</v>
      </c>
    </row>
    <row r="705" spans="1:6" x14ac:dyDescent="0.3">
      <c r="A705" s="3" t="s">
        <v>2783</v>
      </c>
      <c r="B705" s="2" t="s">
        <v>3168</v>
      </c>
      <c r="C705" s="2" t="s">
        <v>1495</v>
      </c>
      <c r="D705" s="2" t="s">
        <v>3169</v>
      </c>
      <c r="E705" s="2" t="s">
        <v>3880</v>
      </c>
      <c r="F705" s="4" t="s">
        <v>3098</v>
      </c>
    </row>
    <row r="706" spans="1:6" x14ac:dyDescent="0.3">
      <c r="A706" s="3" t="s">
        <v>2784</v>
      </c>
      <c r="B706" s="2" t="s">
        <v>3168</v>
      </c>
      <c r="C706" s="2" t="s">
        <v>1497</v>
      </c>
      <c r="D706" s="2" t="s">
        <v>3169</v>
      </c>
      <c r="E706" s="2" t="s">
        <v>3881</v>
      </c>
      <c r="F706" s="4" t="s">
        <v>3101</v>
      </c>
    </row>
    <row r="707" spans="1:6" x14ac:dyDescent="0.3">
      <c r="A707" s="3" t="s">
        <v>2785</v>
      </c>
      <c r="B707" s="2" t="s">
        <v>3229</v>
      </c>
      <c r="C707" s="2" t="s">
        <v>1499</v>
      </c>
      <c r="D707" s="2" t="s">
        <v>3230</v>
      </c>
      <c r="E707" s="2" t="s">
        <v>3882</v>
      </c>
      <c r="F707" s="4" t="s">
        <v>3105</v>
      </c>
    </row>
    <row r="708" spans="1:6" x14ac:dyDescent="0.3">
      <c r="A708" s="3" t="s">
        <v>2786</v>
      </c>
      <c r="B708" s="2" t="s">
        <v>3106</v>
      </c>
      <c r="C708" s="2" t="s">
        <v>1501</v>
      </c>
      <c r="D708" s="2" t="s">
        <v>3107</v>
      </c>
      <c r="E708" s="2" t="s">
        <v>3652</v>
      </c>
      <c r="F708" s="4" t="s">
        <v>3109</v>
      </c>
    </row>
    <row r="709" spans="1:6" x14ac:dyDescent="0.3">
      <c r="A709" s="3" t="s">
        <v>2787</v>
      </c>
      <c r="B709" s="2" t="s">
        <v>3180</v>
      </c>
      <c r="C709" s="2" t="s">
        <v>1503</v>
      </c>
      <c r="D709" s="2" t="s">
        <v>3181</v>
      </c>
      <c r="E709" s="2" t="s">
        <v>3883</v>
      </c>
      <c r="F709" s="4" t="s">
        <v>3111</v>
      </c>
    </row>
    <row r="710" spans="1:6" x14ac:dyDescent="0.3">
      <c r="A710" s="3" t="s">
        <v>2788</v>
      </c>
      <c r="B710" s="2" t="s">
        <v>3102</v>
      </c>
      <c r="C710" s="2" t="s">
        <v>1505</v>
      </c>
      <c r="D710" s="2" t="s">
        <v>3103</v>
      </c>
      <c r="E710" s="2" t="s">
        <v>3884</v>
      </c>
      <c r="F710" s="4" t="s">
        <v>3114</v>
      </c>
    </row>
    <row r="711" spans="1:6" x14ac:dyDescent="0.3">
      <c r="A711" s="3" t="s">
        <v>2789</v>
      </c>
      <c r="B711" s="2" t="s">
        <v>3164</v>
      </c>
      <c r="C711" s="2" t="s">
        <v>1507</v>
      </c>
      <c r="D711" s="2" t="s">
        <v>3165</v>
      </c>
      <c r="E711" s="2" t="s">
        <v>3885</v>
      </c>
      <c r="F711" s="4" t="s">
        <v>3118</v>
      </c>
    </row>
    <row r="712" spans="1:6" x14ac:dyDescent="0.3">
      <c r="A712" s="3" t="s">
        <v>2790</v>
      </c>
      <c r="B712" s="2" t="s">
        <v>3194</v>
      </c>
      <c r="C712" s="2" t="s">
        <v>1509</v>
      </c>
      <c r="D712" s="2" t="s">
        <v>3155</v>
      </c>
      <c r="E712" s="2" t="s">
        <v>3886</v>
      </c>
      <c r="F712" s="4" t="s">
        <v>3121</v>
      </c>
    </row>
    <row r="713" spans="1:6" x14ac:dyDescent="0.3">
      <c r="A713" s="3" t="s">
        <v>2791</v>
      </c>
      <c r="B713" s="2" t="s">
        <v>3168</v>
      </c>
      <c r="C713" s="2" t="s">
        <v>1511</v>
      </c>
      <c r="D713" s="2" t="s">
        <v>3169</v>
      </c>
      <c r="E713" s="2" t="s">
        <v>3887</v>
      </c>
      <c r="F713" s="4" t="s">
        <v>3125</v>
      </c>
    </row>
    <row r="714" spans="1:6" x14ac:dyDescent="0.3">
      <c r="A714" s="3" t="s">
        <v>2792</v>
      </c>
      <c r="B714" s="2" t="s">
        <v>3112</v>
      </c>
      <c r="C714" s="2" t="s">
        <v>1513</v>
      </c>
      <c r="D714" s="2" t="s">
        <v>64</v>
      </c>
      <c r="E714" s="2" t="s">
        <v>3620</v>
      </c>
      <c r="F714" s="4" t="s">
        <v>3127</v>
      </c>
    </row>
    <row r="715" spans="1:6" x14ac:dyDescent="0.3">
      <c r="A715" s="3" t="s">
        <v>2793</v>
      </c>
      <c r="B715" s="2" t="s">
        <v>3119</v>
      </c>
      <c r="C715" s="2" t="s">
        <v>1515</v>
      </c>
      <c r="D715" s="2" t="s">
        <v>75</v>
      </c>
      <c r="E715" s="2" t="s">
        <v>3563</v>
      </c>
      <c r="F715" s="4" t="s">
        <v>3130</v>
      </c>
    </row>
    <row r="716" spans="1:6" x14ac:dyDescent="0.3">
      <c r="A716" s="3" t="s">
        <v>2794</v>
      </c>
      <c r="B716" s="2" t="s">
        <v>3090</v>
      </c>
      <c r="C716" s="2" t="s">
        <v>1517</v>
      </c>
      <c r="D716" s="2" t="s">
        <v>3091</v>
      </c>
      <c r="E716" s="2" t="s">
        <v>3888</v>
      </c>
      <c r="F716" s="4" t="s">
        <v>3132</v>
      </c>
    </row>
    <row r="717" spans="1:6" x14ac:dyDescent="0.3">
      <c r="A717" s="3" t="s">
        <v>2795</v>
      </c>
      <c r="B717" s="2" t="s">
        <v>3090</v>
      </c>
      <c r="C717" s="2" t="s">
        <v>1519</v>
      </c>
      <c r="D717" s="2" t="s">
        <v>3091</v>
      </c>
      <c r="E717" s="2" t="s">
        <v>3333</v>
      </c>
      <c r="F717" s="4" t="s">
        <v>3136</v>
      </c>
    </row>
    <row r="718" spans="1:6" x14ac:dyDescent="0.3">
      <c r="A718" s="3" t="s">
        <v>2796</v>
      </c>
      <c r="B718" s="2" t="s">
        <v>3154</v>
      </c>
      <c r="C718" s="2" t="s">
        <v>1521</v>
      </c>
      <c r="D718" s="2" t="s">
        <v>3155</v>
      </c>
      <c r="E718" s="2" t="s">
        <v>3172</v>
      </c>
      <c r="F718" s="4" t="s">
        <v>3138</v>
      </c>
    </row>
    <row r="719" spans="1:6" x14ac:dyDescent="0.3">
      <c r="A719" s="3" t="s">
        <v>2797</v>
      </c>
      <c r="B719" s="2" t="s">
        <v>3168</v>
      </c>
      <c r="C719" s="2" t="s">
        <v>1523</v>
      </c>
      <c r="D719" s="2" t="s">
        <v>3169</v>
      </c>
      <c r="E719" s="2" t="s">
        <v>3889</v>
      </c>
      <c r="F719" s="4" t="s">
        <v>3141</v>
      </c>
    </row>
    <row r="720" spans="1:6" x14ac:dyDescent="0.3">
      <c r="A720" s="3" t="s">
        <v>2798</v>
      </c>
      <c r="B720" s="2" t="s">
        <v>3150</v>
      </c>
      <c r="C720" s="2" t="s">
        <v>1525</v>
      </c>
      <c r="D720" s="2" t="s">
        <v>3151</v>
      </c>
      <c r="E720" s="2" t="s">
        <v>3890</v>
      </c>
      <c r="F720" s="4" t="s">
        <v>3143</v>
      </c>
    </row>
    <row r="721" spans="1:6" x14ac:dyDescent="0.3">
      <c r="A721" s="3" t="s">
        <v>2799</v>
      </c>
      <c r="B721" s="2" t="s">
        <v>3133</v>
      </c>
      <c r="C721" s="2" t="s">
        <v>1527</v>
      </c>
      <c r="D721" s="2" t="s">
        <v>3134</v>
      </c>
      <c r="E721" s="2" t="s">
        <v>3891</v>
      </c>
      <c r="F721" s="4" t="s">
        <v>3145</v>
      </c>
    </row>
    <row r="722" spans="1:6" x14ac:dyDescent="0.3">
      <c r="A722" s="3" t="s">
        <v>2800</v>
      </c>
      <c r="B722" s="2" t="s">
        <v>3154</v>
      </c>
      <c r="C722" s="2" t="s">
        <v>1529</v>
      </c>
      <c r="D722" s="2" t="s">
        <v>3155</v>
      </c>
      <c r="E722" s="2" t="s">
        <v>3514</v>
      </c>
      <c r="F722" s="4" t="s">
        <v>3147</v>
      </c>
    </row>
    <row r="723" spans="1:6" x14ac:dyDescent="0.3">
      <c r="A723" s="3" t="s">
        <v>2801</v>
      </c>
      <c r="B723" s="2" t="s">
        <v>3229</v>
      </c>
      <c r="C723" s="2" t="s">
        <v>1531</v>
      </c>
      <c r="D723" s="2" t="s">
        <v>3230</v>
      </c>
      <c r="E723" s="2" t="s">
        <v>3892</v>
      </c>
      <c r="F723" s="4" t="s">
        <v>3149</v>
      </c>
    </row>
    <row r="724" spans="1:6" x14ac:dyDescent="0.3">
      <c r="A724" s="3" t="s">
        <v>2802</v>
      </c>
      <c r="B724" s="2" t="s">
        <v>3217</v>
      </c>
      <c r="C724" s="2" t="s">
        <v>1533</v>
      </c>
      <c r="D724" s="2" t="s">
        <v>3218</v>
      </c>
      <c r="E724" s="2" t="s">
        <v>3893</v>
      </c>
      <c r="F724" s="4" t="s">
        <v>3153</v>
      </c>
    </row>
    <row r="725" spans="1:6" x14ac:dyDescent="0.3">
      <c r="A725" s="3" t="s">
        <v>2803</v>
      </c>
      <c r="B725" s="2" t="s">
        <v>3115</v>
      </c>
      <c r="C725" s="2" t="s">
        <v>1535</v>
      </c>
      <c r="D725" s="2" t="s">
        <v>3116</v>
      </c>
      <c r="E725" s="2" t="s">
        <v>3894</v>
      </c>
      <c r="F725" s="4" t="s">
        <v>3157</v>
      </c>
    </row>
    <row r="726" spans="1:6" x14ac:dyDescent="0.3">
      <c r="A726" s="3" t="s">
        <v>2804</v>
      </c>
      <c r="B726" s="2" t="s">
        <v>3168</v>
      </c>
      <c r="C726" s="2" t="s">
        <v>1537</v>
      </c>
      <c r="D726" s="2" t="s">
        <v>3169</v>
      </c>
      <c r="E726" s="2" t="s">
        <v>3895</v>
      </c>
      <c r="F726" s="4" t="s">
        <v>3159</v>
      </c>
    </row>
    <row r="727" spans="1:6" x14ac:dyDescent="0.3">
      <c r="A727" s="3" t="s">
        <v>2805</v>
      </c>
      <c r="B727" s="2" t="s">
        <v>3229</v>
      </c>
      <c r="C727" s="2" t="s">
        <v>1539</v>
      </c>
      <c r="D727" s="2" t="s">
        <v>3230</v>
      </c>
      <c r="E727" s="2" t="s">
        <v>3896</v>
      </c>
      <c r="F727" s="4" t="s">
        <v>3161</v>
      </c>
    </row>
    <row r="728" spans="1:6" x14ac:dyDescent="0.3">
      <c r="A728" s="3" t="s">
        <v>2806</v>
      </c>
      <c r="B728" s="2" t="s">
        <v>3133</v>
      </c>
      <c r="C728" s="2" t="s">
        <v>1541</v>
      </c>
      <c r="D728" s="2" t="s">
        <v>3134</v>
      </c>
      <c r="E728" s="2" t="s">
        <v>3897</v>
      </c>
      <c r="F728" s="4" t="s">
        <v>3163</v>
      </c>
    </row>
    <row r="729" spans="1:6" x14ac:dyDescent="0.3">
      <c r="A729" s="3" t="s">
        <v>2807</v>
      </c>
      <c r="B729" s="2" t="s">
        <v>3176</v>
      </c>
      <c r="C729" s="2" t="s">
        <v>1543</v>
      </c>
      <c r="D729" s="2" t="s">
        <v>3177</v>
      </c>
      <c r="E729" s="2" t="s">
        <v>3898</v>
      </c>
      <c r="F729" s="4" t="s">
        <v>3167</v>
      </c>
    </row>
    <row r="730" spans="1:6" x14ac:dyDescent="0.3">
      <c r="A730" s="3" t="s">
        <v>2808</v>
      </c>
      <c r="B730" s="2" t="s">
        <v>3154</v>
      </c>
      <c r="C730" s="2" t="s">
        <v>1545</v>
      </c>
      <c r="D730" s="2" t="s">
        <v>3155</v>
      </c>
      <c r="E730" s="2" t="s">
        <v>3248</v>
      </c>
      <c r="F730" s="4" t="s">
        <v>3171</v>
      </c>
    </row>
    <row r="731" spans="1:6" x14ac:dyDescent="0.3">
      <c r="A731" s="3" t="s">
        <v>2809</v>
      </c>
      <c r="B731" s="2" t="s">
        <v>3217</v>
      </c>
      <c r="C731" s="2" t="s">
        <v>1547</v>
      </c>
      <c r="D731" s="2" t="s">
        <v>3218</v>
      </c>
      <c r="E731" s="2" t="s">
        <v>3899</v>
      </c>
      <c r="F731" s="4" t="s">
        <v>3173</v>
      </c>
    </row>
    <row r="732" spans="1:6" x14ac:dyDescent="0.3">
      <c r="A732" s="3" t="s">
        <v>2810</v>
      </c>
      <c r="B732" s="2" t="s">
        <v>3164</v>
      </c>
      <c r="C732" s="2" t="s">
        <v>1549</v>
      </c>
      <c r="D732" s="2" t="s">
        <v>3165</v>
      </c>
      <c r="E732" s="2" t="s">
        <v>3900</v>
      </c>
      <c r="F732" s="4" t="s">
        <v>3175</v>
      </c>
    </row>
    <row r="733" spans="1:6" x14ac:dyDescent="0.3">
      <c r="A733" s="3" t="s">
        <v>2811</v>
      </c>
      <c r="B733" s="2" t="s">
        <v>3119</v>
      </c>
      <c r="C733" s="2" t="s">
        <v>1551</v>
      </c>
      <c r="D733" s="2" t="s">
        <v>75</v>
      </c>
      <c r="E733" s="2" t="s">
        <v>3901</v>
      </c>
      <c r="F733" s="4" t="s">
        <v>3179</v>
      </c>
    </row>
    <row r="734" spans="1:6" x14ac:dyDescent="0.3">
      <c r="A734" s="3" t="s">
        <v>2812</v>
      </c>
      <c r="B734" s="2" t="s">
        <v>3093</v>
      </c>
      <c r="C734" s="2" t="s">
        <v>1553</v>
      </c>
      <c r="D734" s="2" t="s">
        <v>3094</v>
      </c>
      <c r="E734" s="2" t="s">
        <v>3902</v>
      </c>
      <c r="F734" s="4" t="s">
        <v>3183</v>
      </c>
    </row>
    <row r="735" spans="1:6" x14ac:dyDescent="0.3">
      <c r="A735" s="3" t="s">
        <v>2813</v>
      </c>
      <c r="B735" s="2" t="s">
        <v>3139</v>
      </c>
      <c r="C735" s="2" t="s">
        <v>1555</v>
      </c>
      <c r="D735" s="2" t="s">
        <v>3107</v>
      </c>
      <c r="E735" s="2" t="s">
        <v>3903</v>
      </c>
      <c r="F735" s="4" t="s">
        <v>3185</v>
      </c>
    </row>
    <row r="736" spans="1:6" x14ac:dyDescent="0.3">
      <c r="A736" s="3" t="s">
        <v>2814</v>
      </c>
      <c r="B736" s="2" t="s">
        <v>3093</v>
      </c>
      <c r="C736" s="2" t="s">
        <v>1557</v>
      </c>
      <c r="D736" s="2" t="s">
        <v>3094</v>
      </c>
      <c r="E736" s="2" t="s">
        <v>3348</v>
      </c>
      <c r="F736" s="4" t="s">
        <v>3187</v>
      </c>
    </row>
    <row r="737" spans="1:6" x14ac:dyDescent="0.3">
      <c r="A737" s="3" t="s">
        <v>2815</v>
      </c>
      <c r="B737" s="2" t="s">
        <v>3176</v>
      </c>
      <c r="C737" s="2" t="s">
        <v>1559</v>
      </c>
      <c r="D737" s="2" t="s">
        <v>3177</v>
      </c>
      <c r="E737" s="2" t="s">
        <v>3904</v>
      </c>
      <c r="F737" s="4" t="s">
        <v>3189</v>
      </c>
    </row>
    <row r="738" spans="1:6" x14ac:dyDescent="0.3">
      <c r="A738" s="3" t="s">
        <v>2816</v>
      </c>
      <c r="B738" s="2" t="s">
        <v>3122</v>
      </c>
      <c r="C738" s="2" t="s">
        <v>1561</v>
      </c>
      <c r="D738" s="2" t="s">
        <v>3123</v>
      </c>
      <c r="E738" s="2" t="s">
        <v>3905</v>
      </c>
      <c r="F738" s="4" t="s">
        <v>3191</v>
      </c>
    </row>
    <row r="739" spans="1:6" x14ac:dyDescent="0.3">
      <c r="A739" s="3" t="s">
        <v>2817</v>
      </c>
      <c r="B739" s="2" t="s">
        <v>3102</v>
      </c>
      <c r="C739" s="2" t="s">
        <v>1563</v>
      </c>
      <c r="D739" s="2" t="s">
        <v>3103</v>
      </c>
      <c r="E739" s="2" t="s">
        <v>3906</v>
      </c>
      <c r="F739" s="4" t="s">
        <v>3193</v>
      </c>
    </row>
    <row r="740" spans="1:6" x14ac:dyDescent="0.3">
      <c r="A740" s="3" t="s">
        <v>2818</v>
      </c>
      <c r="B740" s="2" t="s">
        <v>3168</v>
      </c>
      <c r="C740" s="2" t="s">
        <v>1565</v>
      </c>
      <c r="D740" s="2" t="s">
        <v>3169</v>
      </c>
      <c r="E740" s="2" t="s">
        <v>3907</v>
      </c>
      <c r="F740" s="4" t="s">
        <v>3196</v>
      </c>
    </row>
    <row r="741" spans="1:6" x14ac:dyDescent="0.3">
      <c r="A741" s="3" t="s">
        <v>2819</v>
      </c>
      <c r="B741" s="2" t="s">
        <v>3093</v>
      </c>
      <c r="C741" s="2" t="s">
        <v>1567</v>
      </c>
      <c r="D741" s="2" t="s">
        <v>3094</v>
      </c>
      <c r="E741" s="2" t="s">
        <v>3908</v>
      </c>
      <c r="F741" s="4" t="s">
        <v>3198</v>
      </c>
    </row>
    <row r="742" spans="1:6" x14ac:dyDescent="0.3">
      <c r="A742" s="3" t="s">
        <v>2820</v>
      </c>
      <c r="B742" s="2" t="s">
        <v>3085</v>
      </c>
      <c r="C742" s="2" t="s">
        <v>1569</v>
      </c>
      <c r="D742" s="2" t="s">
        <v>3087</v>
      </c>
      <c r="E742" s="2" t="s">
        <v>3909</v>
      </c>
      <c r="F742" s="4" t="s">
        <v>3200</v>
      </c>
    </row>
    <row r="743" spans="1:6" x14ac:dyDescent="0.3">
      <c r="A743" s="3" t="s">
        <v>2821</v>
      </c>
      <c r="B743" s="2" t="s">
        <v>3168</v>
      </c>
      <c r="C743" s="2" t="s">
        <v>3910</v>
      </c>
      <c r="D743" s="2" t="s">
        <v>3169</v>
      </c>
      <c r="E743" s="2" t="s">
        <v>3911</v>
      </c>
      <c r="F743" s="4" t="s">
        <v>3202</v>
      </c>
    </row>
    <row r="744" spans="1:6" x14ac:dyDescent="0.3">
      <c r="A744" s="3" t="s">
        <v>2822</v>
      </c>
      <c r="B744" s="2" t="s">
        <v>3139</v>
      </c>
      <c r="C744" s="2" t="s">
        <v>1573</v>
      </c>
      <c r="D744" s="2" t="s">
        <v>3107</v>
      </c>
      <c r="E744" s="2" t="s">
        <v>3912</v>
      </c>
      <c r="F744" s="4" t="s">
        <v>3204</v>
      </c>
    </row>
    <row r="745" spans="1:6" x14ac:dyDescent="0.3">
      <c r="A745" s="3" t="s">
        <v>2823</v>
      </c>
      <c r="B745" s="2" t="s">
        <v>3090</v>
      </c>
      <c r="C745" s="2" t="s">
        <v>1575</v>
      </c>
      <c r="D745" s="2" t="s">
        <v>3091</v>
      </c>
      <c r="E745" s="2" t="s">
        <v>3913</v>
      </c>
      <c r="F745" s="4" t="s">
        <v>3206</v>
      </c>
    </row>
    <row r="746" spans="1:6" x14ac:dyDescent="0.3">
      <c r="A746" s="3" t="s">
        <v>2824</v>
      </c>
      <c r="B746" s="2" t="s">
        <v>3106</v>
      </c>
      <c r="C746" s="2" t="s">
        <v>1577</v>
      </c>
      <c r="D746" s="2" t="s">
        <v>3107</v>
      </c>
      <c r="E746" s="2" t="s">
        <v>3914</v>
      </c>
      <c r="F746" s="4" t="s">
        <v>3208</v>
      </c>
    </row>
    <row r="747" spans="1:6" x14ac:dyDescent="0.3">
      <c r="A747" s="3" t="s">
        <v>2825</v>
      </c>
      <c r="B747" s="2" t="s">
        <v>3217</v>
      </c>
      <c r="C747" s="2" t="s">
        <v>1579</v>
      </c>
      <c r="D747" s="2" t="s">
        <v>3218</v>
      </c>
      <c r="E747" s="2" t="s">
        <v>3915</v>
      </c>
      <c r="F747" s="4" t="s">
        <v>3210</v>
      </c>
    </row>
    <row r="748" spans="1:6" x14ac:dyDescent="0.3">
      <c r="A748" s="3" t="s">
        <v>2826</v>
      </c>
      <c r="B748" s="2" t="s">
        <v>3102</v>
      </c>
      <c r="C748" s="2" t="s">
        <v>1581</v>
      </c>
      <c r="D748" s="2" t="s">
        <v>3103</v>
      </c>
      <c r="E748" s="2" t="s">
        <v>3916</v>
      </c>
      <c r="F748" s="4" t="s">
        <v>3212</v>
      </c>
    </row>
    <row r="749" spans="1:6" x14ac:dyDescent="0.3">
      <c r="A749" s="3" t="s">
        <v>2827</v>
      </c>
      <c r="B749" s="2" t="s">
        <v>3180</v>
      </c>
      <c r="C749" s="2" t="s">
        <v>1583</v>
      </c>
      <c r="D749" s="2" t="s">
        <v>3181</v>
      </c>
      <c r="E749" s="2" t="s">
        <v>3917</v>
      </c>
      <c r="F749" s="4" t="s">
        <v>3216</v>
      </c>
    </row>
    <row r="750" spans="1:6" x14ac:dyDescent="0.3">
      <c r="A750" s="3" t="s">
        <v>2828</v>
      </c>
      <c r="B750" s="2" t="s">
        <v>3213</v>
      </c>
      <c r="C750" s="2" t="s">
        <v>1585</v>
      </c>
      <c r="D750" s="2" t="s">
        <v>3214</v>
      </c>
      <c r="E750" s="2" t="s">
        <v>3918</v>
      </c>
      <c r="F750" s="4" t="s">
        <v>3220</v>
      </c>
    </row>
    <row r="751" spans="1:6" x14ac:dyDescent="0.3">
      <c r="A751" s="3" t="s">
        <v>2829</v>
      </c>
      <c r="B751" s="2" t="s">
        <v>3154</v>
      </c>
      <c r="C751" s="2" t="s">
        <v>1587</v>
      </c>
      <c r="D751" s="2" t="s">
        <v>3155</v>
      </c>
      <c r="E751" s="2" t="s">
        <v>3919</v>
      </c>
      <c r="F751" s="4" t="s">
        <v>3222</v>
      </c>
    </row>
    <row r="752" spans="1:6" x14ac:dyDescent="0.3">
      <c r="A752" s="3" t="s">
        <v>2830</v>
      </c>
      <c r="B752" s="2" t="s">
        <v>3102</v>
      </c>
      <c r="C752" s="2" t="s">
        <v>1589</v>
      </c>
      <c r="D752" s="2" t="s">
        <v>3103</v>
      </c>
      <c r="E752" s="2" t="s">
        <v>3920</v>
      </c>
      <c r="F752" s="4" t="s">
        <v>3224</v>
      </c>
    </row>
    <row r="753" spans="1:6" x14ac:dyDescent="0.3">
      <c r="A753" s="3" t="s">
        <v>2831</v>
      </c>
      <c r="B753" s="2" t="s">
        <v>3122</v>
      </c>
      <c r="C753" s="2" t="s">
        <v>1591</v>
      </c>
      <c r="D753" s="2" t="s">
        <v>3123</v>
      </c>
      <c r="E753" s="2" t="s">
        <v>3402</v>
      </c>
      <c r="F753" s="4" t="s">
        <v>3226</v>
      </c>
    </row>
    <row r="754" spans="1:6" x14ac:dyDescent="0.3">
      <c r="A754" s="3" t="s">
        <v>2832</v>
      </c>
      <c r="B754" s="2" t="s">
        <v>3168</v>
      </c>
      <c r="C754" s="2" t="s">
        <v>1593</v>
      </c>
      <c r="D754" s="2" t="s">
        <v>3169</v>
      </c>
      <c r="E754" s="2" t="s">
        <v>3921</v>
      </c>
      <c r="F754" s="4" t="s">
        <v>3228</v>
      </c>
    </row>
    <row r="755" spans="1:6" x14ac:dyDescent="0.3">
      <c r="A755" s="3" t="s">
        <v>2833</v>
      </c>
      <c r="B755" s="2" t="s">
        <v>3213</v>
      </c>
      <c r="C755" s="2" t="s">
        <v>1595</v>
      </c>
      <c r="D755" s="2" t="s">
        <v>3214</v>
      </c>
      <c r="E755" s="2" t="s">
        <v>3922</v>
      </c>
      <c r="F755" s="4" t="s">
        <v>3232</v>
      </c>
    </row>
    <row r="756" spans="1:6" x14ac:dyDescent="0.3">
      <c r="A756" s="3" t="s">
        <v>2834</v>
      </c>
      <c r="B756" s="2" t="s">
        <v>3176</v>
      </c>
      <c r="C756" s="2" t="s">
        <v>1597</v>
      </c>
      <c r="D756" s="2" t="s">
        <v>3177</v>
      </c>
      <c r="E756" s="2" t="s">
        <v>3923</v>
      </c>
      <c r="F756" s="4" t="s">
        <v>3233</v>
      </c>
    </row>
    <row r="757" spans="1:6" x14ac:dyDescent="0.3">
      <c r="A757" s="3" t="s">
        <v>2835</v>
      </c>
      <c r="B757" s="2" t="s">
        <v>3133</v>
      </c>
      <c r="C757" s="2" t="s">
        <v>1599</v>
      </c>
      <c r="D757" s="2" t="s">
        <v>3134</v>
      </c>
      <c r="E757" s="2" t="s">
        <v>3924</v>
      </c>
      <c r="F757" s="4" t="s">
        <v>3235</v>
      </c>
    </row>
    <row r="758" spans="1:6" x14ac:dyDescent="0.3">
      <c r="A758" s="3" t="s">
        <v>2836</v>
      </c>
      <c r="B758" s="2" t="s">
        <v>3106</v>
      </c>
      <c r="C758" s="2" t="s">
        <v>1601</v>
      </c>
      <c r="D758" s="2" t="s">
        <v>3107</v>
      </c>
      <c r="E758" s="2" t="s">
        <v>3925</v>
      </c>
      <c r="F758" s="4" t="s">
        <v>3237</v>
      </c>
    </row>
    <row r="759" spans="1:6" x14ac:dyDescent="0.3">
      <c r="A759" s="3" t="s">
        <v>2837</v>
      </c>
      <c r="B759" s="2" t="s">
        <v>3085</v>
      </c>
      <c r="C759" s="2" t="s">
        <v>1603</v>
      </c>
      <c r="D759" s="2" t="s">
        <v>3087</v>
      </c>
      <c r="E759" s="2" t="s">
        <v>3926</v>
      </c>
      <c r="F759" s="4" t="s">
        <v>3239</v>
      </c>
    </row>
    <row r="760" spans="1:6" x14ac:dyDescent="0.3">
      <c r="A760" s="3" t="s">
        <v>2838</v>
      </c>
      <c r="B760" s="2" t="s">
        <v>3090</v>
      </c>
      <c r="C760" s="2" t="s">
        <v>1605</v>
      </c>
      <c r="D760" s="2" t="s">
        <v>3091</v>
      </c>
      <c r="E760" s="2" t="s">
        <v>3408</v>
      </c>
      <c r="F760" s="4" t="s">
        <v>3241</v>
      </c>
    </row>
    <row r="761" spans="1:6" x14ac:dyDescent="0.3">
      <c r="A761" s="3" t="s">
        <v>2839</v>
      </c>
      <c r="B761" s="2" t="s">
        <v>3154</v>
      </c>
      <c r="C761" s="2" t="s">
        <v>1607</v>
      </c>
      <c r="D761" s="2" t="s">
        <v>3155</v>
      </c>
      <c r="E761" s="2" t="s">
        <v>3927</v>
      </c>
      <c r="F761" s="4" t="s">
        <v>3243</v>
      </c>
    </row>
    <row r="762" spans="1:6" x14ac:dyDescent="0.3">
      <c r="A762" s="3" t="s">
        <v>2840</v>
      </c>
      <c r="B762" s="2" t="s">
        <v>3213</v>
      </c>
      <c r="C762" s="2" t="s">
        <v>1609</v>
      </c>
      <c r="D762" s="2" t="s">
        <v>3214</v>
      </c>
      <c r="E762" s="2" t="s">
        <v>3928</v>
      </c>
      <c r="F762" s="4" t="s">
        <v>3245</v>
      </c>
    </row>
    <row r="763" spans="1:6" x14ac:dyDescent="0.3">
      <c r="A763" s="3" t="s">
        <v>2841</v>
      </c>
      <c r="B763" s="2" t="s">
        <v>3168</v>
      </c>
      <c r="C763" s="2" t="s">
        <v>1611</v>
      </c>
      <c r="D763" s="2" t="s">
        <v>3169</v>
      </c>
      <c r="E763" s="2" t="s">
        <v>3929</v>
      </c>
      <c r="F763" s="4" t="s">
        <v>3247</v>
      </c>
    </row>
    <row r="764" spans="1:6" x14ac:dyDescent="0.3">
      <c r="A764" s="3" t="s">
        <v>2842</v>
      </c>
      <c r="B764" s="2" t="s">
        <v>3093</v>
      </c>
      <c r="C764" s="2" t="s">
        <v>1613</v>
      </c>
      <c r="D764" s="2" t="s">
        <v>3094</v>
      </c>
      <c r="E764" s="2" t="s">
        <v>3348</v>
      </c>
      <c r="F764" s="4" t="s">
        <v>3249</v>
      </c>
    </row>
    <row r="765" spans="1:6" x14ac:dyDescent="0.3">
      <c r="A765" s="3" t="s">
        <v>2843</v>
      </c>
      <c r="B765" s="2" t="s">
        <v>3139</v>
      </c>
      <c r="C765" s="2" t="s">
        <v>1615</v>
      </c>
      <c r="D765" s="2" t="s">
        <v>3107</v>
      </c>
      <c r="E765" s="2" t="s">
        <v>3930</v>
      </c>
      <c r="F765" s="4" t="s">
        <v>3251</v>
      </c>
    </row>
    <row r="766" spans="1:6" x14ac:dyDescent="0.3">
      <c r="A766" s="3" t="s">
        <v>2844</v>
      </c>
      <c r="B766" s="2" t="s">
        <v>3106</v>
      </c>
      <c r="C766" s="2" t="s">
        <v>1617</v>
      </c>
      <c r="D766" s="2" t="s">
        <v>3107</v>
      </c>
      <c r="E766" s="2" t="s">
        <v>3931</v>
      </c>
      <c r="F766" s="4" t="s">
        <v>3253</v>
      </c>
    </row>
    <row r="767" spans="1:6" x14ac:dyDescent="0.3">
      <c r="A767" s="3" t="s">
        <v>2845</v>
      </c>
      <c r="B767" s="2" t="s">
        <v>3090</v>
      </c>
      <c r="C767" s="2" t="s">
        <v>1619</v>
      </c>
      <c r="D767" s="2" t="s">
        <v>3091</v>
      </c>
      <c r="E767" s="2" t="s">
        <v>3932</v>
      </c>
      <c r="F767" s="4" t="s">
        <v>3255</v>
      </c>
    </row>
    <row r="768" spans="1:6" x14ac:dyDescent="0.3">
      <c r="A768" s="3" t="s">
        <v>2846</v>
      </c>
      <c r="B768" s="2" t="s">
        <v>3133</v>
      </c>
      <c r="C768" s="2" t="s">
        <v>1621</v>
      </c>
      <c r="D768" s="2" t="s">
        <v>3134</v>
      </c>
      <c r="E768" s="2" t="s">
        <v>3933</v>
      </c>
      <c r="F768" s="4" t="s">
        <v>3257</v>
      </c>
    </row>
    <row r="769" spans="1:6" x14ac:dyDescent="0.3">
      <c r="A769" s="3" t="s">
        <v>2847</v>
      </c>
      <c r="B769" s="2" t="s">
        <v>3093</v>
      </c>
      <c r="C769" s="2" t="s">
        <v>1623</v>
      </c>
      <c r="D769" s="2" t="s">
        <v>3094</v>
      </c>
      <c r="E769" s="2" t="s">
        <v>3934</v>
      </c>
      <c r="F769" s="4" t="s">
        <v>3259</v>
      </c>
    </row>
    <row r="770" spans="1:6" x14ac:dyDescent="0.3">
      <c r="A770" s="3" t="s">
        <v>2848</v>
      </c>
      <c r="B770" s="2" t="s">
        <v>3112</v>
      </c>
      <c r="C770" s="2" t="s">
        <v>1625</v>
      </c>
      <c r="D770" s="2" t="s">
        <v>64</v>
      </c>
      <c r="E770" s="2" t="s">
        <v>3935</v>
      </c>
      <c r="F770" s="4" t="s">
        <v>3261</v>
      </c>
    </row>
    <row r="771" spans="1:6" x14ac:dyDescent="0.3">
      <c r="A771" s="3" t="s">
        <v>2849</v>
      </c>
      <c r="B771" s="2" t="s">
        <v>3154</v>
      </c>
      <c r="C771" s="2" t="s">
        <v>1627</v>
      </c>
      <c r="D771" s="2" t="s">
        <v>3155</v>
      </c>
      <c r="E771" s="2" t="s">
        <v>3936</v>
      </c>
      <c r="F771" s="4" t="s">
        <v>3263</v>
      </c>
    </row>
    <row r="772" spans="1:6" x14ac:dyDescent="0.3">
      <c r="A772" s="3" t="s">
        <v>2850</v>
      </c>
      <c r="B772" s="2" t="s">
        <v>3115</v>
      </c>
      <c r="C772" s="2" t="s">
        <v>1629</v>
      </c>
      <c r="D772" s="2" t="s">
        <v>3116</v>
      </c>
      <c r="E772" s="2" t="s">
        <v>3937</v>
      </c>
      <c r="F772" s="4" t="s">
        <v>3265</v>
      </c>
    </row>
    <row r="773" spans="1:6" x14ac:dyDescent="0.3">
      <c r="A773" s="3" t="s">
        <v>2851</v>
      </c>
      <c r="B773" s="2" t="s">
        <v>3164</v>
      </c>
      <c r="C773" s="2" t="s">
        <v>1631</v>
      </c>
      <c r="D773" s="2" t="s">
        <v>3165</v>
      </c>
      <c r="E773" s="2" t="s">
        <v>3938</v>
      </c>
      <c r="F773" s="4" t="s">
        <v>3267</v>
      </c>
    </row>
    <row r="774" spans="1:6" x14ac:dyDescent="0.3">
      <c r="A774" s="3" t="s">
        <v>2852</v>
      </c>
      <c r="B774" s="2" t="s">
        <v>3112</v>
      </c>
      <c r="C774" s="2" t="s">
        <v>1633</v>
      </c>
      <c r="D774" s="2" t="s">
        <v>64</v>
      </c>
      <c r="E774" s="2" t="s">
        <v>3939</v>
      </c>
      <c r="F774" s="4" t="s">
        <v>3269</v>
      </c>
    </row>
    <row r="775" spans="1:6" x14ac:dyDescent="0.3">
      <c r="A775" s="3" t="s">
        <v>2853</v>
      </c>
      <c r="B775" s="2" t="s">
        <v>3194</v>
      </c>
      <c r="C775" s="2" t="s">
        <v>1635</v>
      </c>
      <c r="D775" s="2" t="s">
        <v>3155</v>
      </c>
      <c r="E775" s="2" t="s">
        <v>3443</v>
      </c>
      <c r="F775" s="4" t="s">
        <v>3271</v>
      </c>
    </row>
    <row r="776" spans="1:6" x14ac:dyDescent="0.3">
      <c r="A776" s="3" t="s">
        <v>2854</v>
      </c>
      <c r="B776" s="2" t="s">
        <v>3229</v>
      </c>
      <c r="C776" s="2" t="s">
        <v>1637</v>
      </c>
      <c r="D776" s="2" t="s">
        <v>3230</v>
      </c>
      <c r="E776" s="2" t="s">
        <v>3940</v>
      </c>
      <c r="F776" s="4" t="s">
        <v>3273</v>
      </c>
    </row>
    <row r="777" spans="1:6" x14ac:dyDescent="0.3">
      <c r="A777" s="3" t="s">
        <v>2855</v>
      </c>
      <c r="B777" s="2" t="s">
        <v>3217</v>
      </c>
      <c r="C777" s="2" t="s">
        <v>1639</v>
      </c>
      <c r="D777" s="2" t="s">
        <v>3218</v>
      </c>
      <c r="E777" s="2" t="s">
        <v>3941</v>
      </c>
      <c r="F777" s="4" t="s">
        <v>3275</v>
      </c>
    </row>
    <row r="778" spans="1:6" x14ac:dyDescent="0.3">
      <c r="A778" s="3" t="s">
        <v>2856</v>
      </c>
      <c r="B778" s="2" t="s">
        <v>3213</v>
      </c>
      <c r="C778" s="2" t="s">
        <v>1641</v>
      </c>
      <c r="D778" s="2" t="s">
        <v>3214</v>
      </c>
      <c r="E778" s="2" t="s">
        <v>3730</v>
      </c>
      <c r="F778" s="4" t="s">
        <v>3277</v>
      </c>
    </row>
    <row r="779" spans="1:6" x14ac:dyDescent="0.3">
      <c r="A779" s="3" t="s">
        <v>2857</v>
      </c>
      <c r="B779" s="2" t="s">
        <v>3115</v>
      </c>
      <c r="C779" s="2" t="s">
        <v>1643</v>
      </c>
      <c r="D779" s="2" t="s">
        <v>3116</v>
      </c>
      <c r="E779" s="2" t="s">
        <v>3942</v>
      </c>
      <c r="F779" s="4" t="s">
        <v>3279</v>
      </c>
    </row>
    <row r="780" spans="1:6" x14ac:dyDescent="0.3">
      <c r="A780" s="3" t="s">
        <v>2858</v>
      </c>
      <c r="B780" s="2" t="s">
        <v>3164</v>
      </c>
      <c r="C780" s="2" t="s">
        <v>1645</v>
      </c>
      <c r="D780" s="2" t="s">
        <v>3165</v>
      </c>
      <c r="E780" s="2" t="s">
        <v>3943</v>
      </c>
      <c r="F780" s="4" t="s">
        <v>3281</v>
      </c>
    </row>
    <row r="781" spans="1:6" x14ac:dyDescent="0.3">
      <c r="A781" s="3" t="s">
        <v>2859</v>
      </c>
      <c r="B781" s="2" t="s">
        <v>3090</v>
      </c>
      <c r="C781" s="2" t="s">
        <v>1647</v>
      </c>
      <c r="D781" s="2" t="s">
        <v>3091</v>
      </c>
      <c r="E781" s="2" t="s">
        <v>3944</v>
      </c>
      <c r="F781" s="4" t="s">
        <v>3283</v>
      </c>
    </row>
    <row r="782" spans="1:6" x14ac:dyDescent="0.3">
      <c r="A782" s="3" t="s">
        <v>2860</v>
      </c>
      <c r="B782" s="2" t="s">
        <v>3180</v>
      </c>
      <c r="C782" s="2" t="s">
        <v>1649</v>
      </c>
      <c r="D782" s="2" t="s">
        <v>3181</v>
      </c>
      <c r="E782" s="2" t="s">
        <v>3945</v>
      </c>
      <c r="F782" s="4" t="s">
        <v>3285</v>
      </c>
    </row>
    <row r="783" spans="1:6" x14ac:dyDescent="0.3">
      <c r="A783" s="3" t="s">
        <v>2861</v>
      </c>
      <c r="B783" s="2" t="s">
        <v>3112</v>
      </c>
      <c r="C783" s="2" t="s">
        <v>1651</v>
      </c>
      <c r="D783" s="2" t="s">
        <v>64</v>
      </c>
      <c r="E783" s="2" t="s">
        <v>3946</v>
      </c>
      <c r="F783" s="4" t="s">
        <v>3287</v>
      </c>
    </row>
    <row r="784" spans="1:6" x14ac:dyDescent="0.3">
      <c r="A784" s="3" t="s">
        <v>2862</v>
      </c>
      <c r="B784" s="2" t="s">
        <v>3122</v>
      </c>
      <c r="C784" s="2" t="s">
        <v>1653</v>
      </c>
      <c r="D784" s="2" t="s">
        <v>3123</v>
      </c>
      <c r="E784" s="2" t="s">
        <v>3947</v>
      </c>
      <c r="F784" s="4" t="s">
        <v>3289</v>
      </c>
    </row>
    <row r="785" spans="1:6" x14ac:dyDescent="0.3">
      <c r="A785" s="3" t="s">
        <v>2863</v>
      </c>
      <c r="B785" s="2" t="s">
        <v>3213</v>
      </c>
      <c r="C785" s="2" t="s">
        <v>1655</v>
      </c>
      <c r="D785" s="2" t="s">
        <v>3214</v>
      </c>
      <c r="E785" s="2" t="s">
        <v>3948</v>
      </c>
      <c r="F785" s="4" t="s">
        <v>3291</v>
      </c>
    </row>
    <row r="786" spans="1:6" x14ac:dyDescent="0.3">
      <c r="A786" s="3" t="s">
        <v>2864</v>
      </c>
      <c r="B786" s="2" t="s">
        <v>3119</v>
      </c>
      <c r="C786" s="2" t="s">
        <v>1657</v>
      </c>
      <c r="D786" s="2" t="s">
        <v>75</v>
      </c>
      <c r="E786" s="2" t="s">
        <v>3949</v>
      </c>
      <c r="F786" s="4" t="s">
        <v>3293</v>
      </c>
    </row>
    <row r="787" spans="1:6" x14ac:dyDescent="0.3">
      <c r="A787" s="3" t="s">
        <v>2865</v>
      </c>
      <c r="B787" s="2" t="s">
        <v>3122</v>
      </c>
      <c r="C787" s="2" t="s">
        <v>1659</v>
      </c>
      <c r="D787" s="2" t="s">
        <v>3123</v>
      </c>
      <c r="E787" s="2" t="s">
        <v>3950</v>
      </c>
      <c r="F787" s="4" t="s">
        <v>3295</v>
      </c>
    </row>
    <row r="788" spans="1:6" x14ac:dyDescent="0.3">
      <c r="A788" s="3" t="s">
        <v>2866</v>
      </c>
      <c r="B788" s="2" t="s">
        <v>3150</v>
      </c>
      <c r="C788" s="2" t="s">
        <v>1661</v>
      </c>
      <c r="D788" s="2" t="s">
        <v>3151</v>
      </c>
      <c r="E788" s="2" t="s">
        <v>3951</v>
      </c>
      <c r="F788" s="4" t="s">
        <v>3297</v>
      </c>
    </row>
    <row r="789" spans="1:6" x14ac:dyDescent="0.3">
      <c r="A789" s="3" t="s">
        <v>2867</v>
      </c>
      <c r="B789" s="2" t="s">
        <v>3085</v>
      </c>
      <c r="C789" s="2" t="s">
        <v>1663</v>
      </c>
      <c r="D789" s="2" t="s">
        <v>3087</v>
      </c>
      <c r="E789" s="2" t="s">
        <v>3952</v>
      </c>
      <c r="F789" s="4" t="s">
        <v>3299</v>
      </c>
    </row>
    <row r="790" spans="1:6" x14ac:dyDescent="0.3">
      <c r="A790" s="3" t="s">
        <v>2868</v>
      </c>
      <c r="B790" s="2" t="s">
        <v>3180</v>
      </c>
      <c r="C790" s="2" t="s">
        <v>1665</v>
      </c>
      <c r="D790" s="2" t="s">
        <v>3181</v>
      </c>
      <c r="E790" s="2" t="s">
        <v>3953</v>
      </c>
      <c r="F790" s="4" t="s">
        <v>3301</v>
      </c>
    </row>
    <row r="791" spans="1:6" x14ac:dyDescent="0.3">
      <c r="A791" s="3" t="s">
        <v>2869</v>
      </c>
      <c r="B791" s="2" t="s">
        <v>3217</v>
      </c>
      <c r="C791" s="2" t="s">
        <v>1667</v>
      </c>
      <c r="D791" s="2" t="s">
        <v>3218</v>
      </c>
      <c r="E791" s="2" t="s">
        <v>3954</v>
      </c>
      <c r="F791" s="4" t="s">
        <v>3303</v>
      </c>
    </row>
    <row r="792" spans="1:6" x14ac:dyDescent="0.3">
      <c r="A792" s="3" t="s">
        <v>2870</v>
      </c>
      <c r="B792" s="2" t="s">
        <v>3112</v>
      </c>
      <c r="C792" s="2" t="s">
        <v>1669</v>
      </c>
      <c r="D792" s="2" t="s">
        <v>64</v>
      </c>
      <c r="E792" s="2" t="s">
        <v>3955</v>
      </c>
      <c r="F792" s="4" t="s">
        <v>3305</v>
      </c>
    </row>
    <row r="793" spans="1:6" x14ac:dyDescent="0.3">
      <c r="A793" s="3" t="s">
        <v>2871</v>
      </c>
      <c r="B793" s="2" t="s">
        <v>3150</v>
      </c>
      <c r="C793" s="2" t="s">
        <v>1671</v>
      </c>
      <c r="D793" s="2" t="s">
        <v>3151</v>
      </c>
      <c r="E793" s="2" t="s">
        <v>3337</v>
      </c>
      <c r="F793" s="4" t="s">
        <v>3307</v>
      </c>
    </row>
    <row r="794" spans="1:6" x14ac:dyDescent="0.3">
      <c r="A794" s="3" t="s">
        <v>2872</v>
      </c>
      <c r="B794" s="2" t="s">
        <v>3229</v>
      </c>
      <c r="C794" s="2" t="s">
        <v>1673</v>
      </c>
      <c r="D794" s="2" t="s">
        <v>3230</v>
      </c>
      <c r="E794" s="2" t="s">
        <v>3956</v>
      </c>
      <c r="F794" s="4" t="s">
        <v>3309</v>
      </c>
    </row>
    <row r="795" spans="1:6" x14ac:dyDescent="0.3">
      <c r="A795" s="3" t="s">
        <v>2873</v>
      </c>
      <c r="B795" s="2" t="s">
        <v>3090</v>
      </c>
      <c r="C795" s="2" t="s">
        <v>1675</v>
      </c>
      <c r="D795" s="2" t="s">
        <v>3091</v>
      </c>
      <c r="E795" s="2" t="s">
        <v>3957</v>
      </c>
      <c r="F795" s="4" t="s">
        <v>3311</v>
      </c>
    </row>
    <row r="796" spans="1:6" x14ac:dyDescent="0.3">
      <c r="A796" s="3" t="s">
        <v>2874</v>
      </c>
      <c r="B796" s="2" t="s">
        <v>3119</v>
      </c>
      <c r="C796" s="2" t="s">
        <v>1677</v>
      </c>
      <c r="D796" s="2" t="s">
        <v>75</v>
      </c>
      <c r="E796" s="2" t="s">
        <v>3348</v>
      </c>
      <c r="F796" s="4" t="s">
        <v>3313</v>
      </c>
    </row>
    <row r="797" spans="1:6" x14ac:dyDescent="0.3">
      <c r="A797" s="3" t="s">
        <v>2875</v>
      </c>
      <c r="B797" s="2" t="s">
        <v>3164</v>
      </c>
      <c r="C797" s="2" t="s">
        <v>1679</v>
      </c>
      <c r="D797" s="2" t="s">
        <v>3165</v>
      </c>
      <c r="E797" s="2" t="s">
        <v>3958</v>
      </c>
      <c r="F797" s="4" t="s">
        <v>3315</v>
      </c>
    </row>
    <row r="798" spans="1:6" x14ac:dyDescent="0.3">
      <c r="A798" s="3" t="s">
        <v>2876</v>
      </c>
      <c r="B798" s="2" t="s">
        <v>3168</v>
      </c>
      <c r="C798" s="2" t="s">
        <v>1681</v>
      </c>
      <c r="D798" s="2" t="s">
        <v>3169</v>
      </c>
      <c r="E798" s="2" t="s">
        <v>3902</v>
      </c>
      <c r="F798" s="4" t="s">
        <v>3317</v>
      </c>
    </row>
    <row r="799" spans="1:6" x14ac:dyDescent="0.3">
      <c r="A799" s="3" t="s">
        <v>2877</v>
      </c>
      <c r="B799" s="2" t="s">
        <v>3102</v>
      </c>
      <c r="C799" s="2" t="s">
        <v>1683</v>
      </c>
      <c r="D799" s="2" t="s">
        <v>3103</v>
      </c>
      <c r="E799" s="2" t="s">
        <v>3959</v>
      </c>
      <c r="F799" s="4" t="s">
        <v>3319</v>
      </c>
    </row>
    <row r="800" spans="1:6" x14ac:dyDescent="0.3">
      <c r="A800" s="3" t="s">
        <v>2878</v>
      </c>
      <c r="B800" s="2" t="s">
        <v>3168</v>
      </c>
      <c r="C800" s="2" t="s">
        <v>1685</v>
      </c>
      <c r="D800" s="2" t="s">
        <v>3169</v>
      </c>
      <c r="E800" s="2" t="s">
        <v>3960</v>
      </c>
      <c r="F800" s="4" t="s">
        <v>3321</v>
      </c>
    </row>
    <row r="801" spans="1:6" x14ac:dyDescent="0.3">
      <c r="A801" s="3" t="s">
        <v>2879</v>
      </c>
      <c r="B801" s="2" t="s">
        <v>3176</v>
      </c>
      <c r="C801" s="2" t="s">
        <v>1687</v>
      </c>
      <c r="D801" s="2" t="s">
        <v>3177</v>
      </c>
      <c r="E801" s="2" t="s">
        <v>3961</v>
      </c>
      <c r="F801" s="4" t="s">
        <v>3323</v>
      </c>
    </row>
    <row r="802" spans="1:6" x14ac:dyDescent="0.3">
      <c r="A802" s="3" t="s">
        <v>2880</v>
      </c>
      <c r="B802" s="2" t="s">
        <v>3229</v>
      </c>
      <c r="C802" s="2" t="s">
        <v>1689</v>
      </c>
      <c r="D802" s="2" t="s">
        <v>3230</v>
      </c>
      <c r="E802" s="2" t="s">
        <v>3962</v>
      </c>
      <c r="F802" s="4" t="s">
        <v>3325</v>
      </c>
    </row>
    <row r="803" spans="1:6" x14ac:dyDescent="0.3">
      <c r="A803" s="3" t="s">
        <v>2881</v>
      </c>
      <c r="B803" s="2" t="s">
        <v>3115</v>
      </c>
      <c r="C803" s="2" t="s">
        <v>1691</v>
      </c>
      <c r="D803" s="2" t="s">
        <v>3116</v>
      </c>
      <c r="E803" s="2" t="s">
        <v>3963</v>
      </c>
      <c r="F803" s="4" t="s">
        <v>3089</v>
      </c>
    </row>
    <row r="804" spans="1:6" x14ac:dyDescent="0.3">
      <c r="A804" s="3" t="s">
        <v>2882</v>
      </c>
      <c r="B804" s="2" t="s">
        <v>3229</v>
      </c>
      <c r="C804" s="2" t="s">
        <v>1693</v>
      </c>
      <c r="D804" s="2" t="s">
        <v>3230</v>
      </c>
      <c r="E804" s="2" t="s">
        <v>3964</v>
      </c>
      <c r="F804" s="4" t="s">
        <v>3096</v>
      </c>
    </row>
    <row r="805" spans="1:6" x14ac:dyDescent="0.3">
      <c r="A805" s="3" t="s">
        <v>2883</v>
      </c>
      <c r="B805" s="2" t="s">
        <v>3119</v>
      </c>
      <c r="C805" s="2" t="s">
        <v>1695</v>
      </c>
      <c r="D805" s="2" t="s">
        <v>75</v>
      </c>
      <c r="E805" s="2" t="s">
        <v>3965</v>
      </c>
      <c r="F805" s="4" t="s">
        <v>3098</v>
      </c>
    </row>
    <row r="806" spans="1:6" x14ac:dyDescent="0.3">
      <c r="A806" s="3" t="s">
        <v>2884</v>
      </c>
      <c r="B806" s="2" t="s">
        <v>3093</v>
      </c>
      <c r="C806" s="2" t="s">
        <v>1697</v>
      </c>
      <c r="D806" s="2" t="s">
        <v>3094</v>
      </c>
      <c r="E806" s="2" t="s">
        <v>3966</v>
      </c>
      <c r="F806" s="4" t="s">
        <v>3101</v>
      </c>
    </row>
    <row r="807" spans="1:6" x14ac:dyDescent="0.3">
      <c r="A807" s="3" t="s">
        <v>2885</v>
      </c>
      <c r="B807" s="2" t="s">
        <v>3106</v>
      </c>
      <c r="C807" s="2" t="s">
        <v>1699</v>
      </c>
      <c r="D807" s="2" t="s">
        <v>3107</v>
      </c>
      <c r="E807" s="2" t="s">
        <v>3967</v>
      </c>
      <c r="F807" s="4" t="s">
        <v>3105</v>
      </c>
    </row>
    <row r="808" spans="1:6" x14ac:dyDescent="0.3">
      <c r="A808" s="3" t="s">
        <v>2886</v>
      </c>
      <c r="B808" s="2" t="s">
        <v>3164</v>
      </c>
      <c r="C808" s="2" t="s">
        <v>1701</v>
      </c>
      <c r="D808" s="2" t="s">
        <v>3165</v>
      </c>
      <c r="E808" s="2" t="s">
        <v>3436</v>
      </c>
      <c r="F808" s="4" t="s">
        <v>3109</v>
      </c>
    </row>
    <row r="809" spans="1:6" x14ac:dyDescent="0.3">
      <c r="A809" s="3" t="s">
        <v>2887</v>
      </c>
      <c r="B809" s="2" t="s">
        <v>3093</v>
      </c>
      <c r="C809" s="2" t="s">
        <v>1703</v>
      </c>
      <c r="D809" s="2" t="s">
        <v>3094</v>
      </c>
      <c r="E809" s="2" t="s">
        <v>3968</v>
      </c>
      <c r="F809" s="4" t="s">
        <v>3111</v>
      </c>
    </row>
    <row r="810" spans="1:6" x14ac:dyDescent="0.3">
      <c r="A810" s="3" t="s">
        <v>2888</v>
      </c>
      <c r="B810" s="2" t="s">
        <v>3090</v>
      </c>
      <c r="C810" s="2" t="s">
        <v>1705</v>
      </c>
      <c r="D810" s="2" t="s">
        <v>3091</v>
      </c>
      <c r="E810" s="2" t="s">
        <v>3969</v>
      </c>
      <c r="F810" s="4" t="s">
        <v>3114</v>
      </c>
    </row>
    <row r="811" spans="1:6" x14ac:dyDescent="0.3">
      <c r="A811" s="3" t="s">
        <v>2889</v>
      </c>
      <c r="B811" s="2" t="s">
        <v>3164</v>
      </c>
      <c r="C811" s="2" t="s">
        <v>1707</v>
      </c>
      <c r="D811" s="2" t="s">
        <v>3165</v>
      </c>
      <c r="E811" s="2" t="s">
        <v>3970</v>
      </c>
      <c r="F811" s="4" t="s">
        <v>3118</v>
      </c>
    </row>
    <row r="812" spans="1:6" x14ac:dyDescent="0.3">
      <c r="A812" s="3" t="s">
        <v>2890</v>
      </c>
      <c r="B812" s="2" t="s">
        <v>3180</v>
      </c>
      <c r="C812" s="2" t="s">
        <v>1709</v>
      </c>
      <c r="D812" s="2" t="s">
        <v>3181</v>
      </c>
      <c r="E812" s="2" t="s">
        <v>3971</v>
      </c>
      <c r="F812" s="4" t="s">
        <v>3121</v>
      </c>
    </row>
    <row r="813" spans="1:6" x14ac:dyDescent="0.3">
      <c r="A813" s="3" t="s">
        <v>2891</v>
      </c>
      <c r="B813" s="2" t="s">
        <v>3164</v>
      </c>
      <c r="C813" s="2" t="s">
        <v>1711</v>
      </c>
      <c r="D813" s="2" t="s">
        <v>3165</v>
      </c>
      <c r="E813" s="2" t="s">
        <v>3972</v>
      </c>
      <c r="F813" s="4" t="s">
        <v>3125</v>
      </c>
    </row>
    <row r="814" spans="1:6" x14ac:dyDescent="0.3">
      <c r="A814" s="3" t="s">
        <v>2892</v>
      </c>
      <c r="B814" s="2" t="s">
        <v>3164</v>
      </c>
      <c r="C814" s="2" t="s">
        <v>1713</v>
      </c>
      <c r="D814" s="2" t="s">
        <v>3165</v>
      </c>
      <c r="E814" s="2" t="s">
        <v>3973</v>
      </c>
      <c r="F814" s="4" t="s">
        <v>3127</v>
      </c>
    </row>
    <row r="815" spans="1:6" x14ac:dyDescent="0.3">
      <c r="A815" s="3" t="s">
        <v>2893</v>
      </c>
      <c r="B815" s="2" t="s">
        <v>3090</v>
      </c>
      <c r="C815" s="2" t="s">
        <v>1715</v>
      </c>
      <c r="D815" s="2" t="s">
        <v>3091</v>
      </c>
      <c r="E815" s="2" t="s">
        <v>3124</v>
      </c>
      <c r="F815" s="4" t="s">
        <v>3130</v>
      </c>
    </row>
    <row r="816" spans="1:6" x14ac:dyDescent="0.3">
      <c r="A816" s="3" t="s">
        <v>2894</v>
      </c>
      <c r="B816" s="2" t="s">
        <v>3154</v>
      </c>
      <c r="C816" s="2" t="s">
        <v>1717</v>
      </c>
      <c r="D816" s="2" t="s">
        <v>3155</v>
      </c>
      <c r="E816" s="2" t="s">
        <v>3337</v>
      </c>
      <c r="F816" s="4" t="s">
        <v>3132</v>
      </c>
    </row>
    <row r="817" spans="1:6" x14ac:dyDescent="0.3">
      <c r="A817" s="3" t="s">
        <v>2895</v>
      </c>
      <c r="B817" s="2" t="s">
        <v>3119</v>
      </c>
      <c r="C817" s="2" t="s">
        <v>1719</v>
      </c>
      <c r="D817" s="2" t="s">
        <v>75</v>
      </c>
      <c r="E817" s="2" t="s">
        <v>3974</v>
      </c>
      <c r="F817" s="4" t="s">
        <v>3136</v>
      </c>
    </row>
    <row r="818" spans="1:6" x14ac:dyDescent="0.3">
      <c r="A818" s="3" t="s">
        <v>2896</v>
      </c>
      <c r="B818" s="2" t="s">
        <v>3122</v>
      </c>
      <c r="C818" s="2" t="s">
        <v>1721</v>
      </c>
      <c r="D818" s="2" t="s">
        <v>3123</v>
      </c>
      <c r="E818" s="2" t="s">
        <v>3975</v>
      </c>
      <c r="F818" s="4" t="s">
        <v>3138</v>
      </c>
    </row>
    <row r="819" spans="1:6" x14ac:dyDescent="0.3">
      <c r="A819" s="3" t="s">
        <v>2897</v>
      </c>
      <c r="B819" s="2" t="s">
        <v>3106</v>
      </c>
      <c r="C819" s="2" t="s">
        <v>1723</v>
      </c>
      <c r="D819" s="2" t="s">
        <v>3107</v>
      </c>
      <c r="E819" s="2" t="s">
        <v>3976</v>
      </c>
      <c r="F819" s="4" t="s">
        <v>3141</v>
      </c>
    </row>
    <row r="820" spans="1:6" x14ac:dyDescent="0.3">
      <c r="A820" s="3" t="s">
        <v>2898</v>
      </c>
      <c r="B820" s="2" t="s">
        <v>3213</v>
      </c>
      <c r="C820" s="2" t="s">
        <v>1725</v>
      </c>
      <c r="D820" s="2" t="s">
        <v>3214</v>
      </c>
      <c r="E820" s="2" t="s">
        <v>3977</v>
      </c>
      <c r="F820" s="4" t="s">
        <v>3143</v>
      </c>
    </row>
    <row r="821" spans="1:6" x14ac:dyDescent="0.3">
      <c r="A821" s="3" t="s">
        <v>2899</v>
      </c>
      <c r="B821" s="2" t="s">
        <v>3139</v>
      </c>
      <c r="C821" s="2" t="s">
        <v>1727</v>
      </c>
      <c r="D821" s="2" t="s">
        <v>3107</v>
      </c>
      <c r="E821" s="2" t="s">
        <v>3744</v>
      </c>
      <c r="F821" s="4" t="s">
        <v>3145</v>
      </c>
    </row>
    <row r="822" spans="1:6" x14ac:dyDescent="0.3">
      <c r="A822" s="3" t="s">
        <v>2900</v>
      </c>
      <c r="B822" s="2" t="s">
        <v>3213</v>
      </c>
      <c r="C822" s="2" t="s">
        <v>1729</v>
      </c>
      <c r="D822" s="2" t="s">
        <v>3214</v>
      </c>
      <c r="E822" s="2" t="s">
        <v>3097</v>
      </c>
      <c r="F822" s="4" t="s">
        <v>3147</v>
      </c>
    </row>
    <row r="823" spans="1:6" x14ac:dyDescent="0.3">
      <c r="A823" s="3" t="s">
        <v>2901</v>
      </c>
      <c r="B823" s="2" t="s">
        <v>3090</v>
      </c>
      <c r="C823" s="2" t="s">
        <v>1731</v>
      </c>
      <c r="D823" s="2" t="s">
        <v>3091</v>
      </c>
      <c r="E823" s="2" t="s">
        <v>3978</v>
      </c>
      <c r="F823" s="4" t="s">
        <v>3149</v>
      </c>
    </row>
    <row r="824" spans="1:6" x14ac:dyDescent="0.3">
      <c r="A824" s="3" t="s">
        <v>2902</v>
      </c>
      <c r="B824" s="2" t="s">
        <v>3133</v>
      </c>
      <c r="C824" s="2" t="s">
        <v>1733</v>
      </c>
      <c r="D824" s="2" t="s">
        <v>3134</v>
      </c>
      <c r="E824" s="2" t="s">
        <v>3113</v>
      </c>
      <c r="F824" s="4" t="s">
        <v>3153</v>
      </c>
    </row>
    <row r="825" spans="1:6" x14ac:dyDescent="0.3">
      <c r="A825" s="3" t="s">
        <v>2903</v>
      </c>
      <c r="B825" s="2" t="s">
        <v>3180</v>
      </c>
      <c r="C825" s="2" t="s">
        <v>1735</v>
      </c>
      <c r="D825" s="2" t="s">
        <v>3181</v>
      </c>
      <c r="E825" s="2" t="s">
        <v>3355</v>
      </c>
      <c r="F825" s="4" t="s">
        <v>3157</v>
      </c>
    </row>
    <row r="826" spans="1:6" x14ac:dyDescent="0.3">
      <c r="A826" s="3" t="s">
        <v>2904</v>
      </c>
      <c r="B826" s="2" t="s">
        <v>3154</v>
      </c>
      <c r="C826" s="2" t="s">
        <v>1737</v>
      </c>
      <c r="D826" s="2" t="s">
        <v>3155</v>
      </c>
      <c r="E826" s="2" t="s">
        <v>3979</v>
      </c>
      <c r="F826" s="4" t="s">
        <v>3159</v>
      </c>
    </row>
    <row r="827" spans="1:6" x14ac:dyDescent="0.3">
      <c r="A827" s="3" t="s">
        <v>2905</v>
      </c>
      <c r="B827" s="2" t="s">
        <v>3213</v>
      </c>
      <c r="C827" s="2" t="s">
        <v>1739</v>
      </c>
      <c r="D827" s="2" t="s">
        <v>3214</v>
      </c>
      <c r="E827" s="2" t="s">
        <v>3980</v>
      </c>
      <c r="F827" s="4" t="s">
        <v>3161</v>
      </c>
    </row>
    <row r="828" spans="1:6" x14ac:dyDescent="0.3">
      <c r="A828" s="3" t="s">
        <v>2906</v>
      </c>
      <c r="B828" s="2" t="s">
        <v>3122</v>
      </c>
      <c r="C828" s="2" t="s">
        <v>1741</v>
      </c>
      <c r="D828" s="2" t="s">
        <v>3123</v>
      </c>
      <c r="E828" s="2" t="s">
        <v>3981</v>
      </c>
      <c r="F828" s="4" t="s">
        <v>3163</v>
      </c>
    </row>
    <row r="829" spans="1:6" x14ac:dyDescent="0.3">
      <c r="A829" s="3" t="s">
        <v>2907</v>
      </c>
      <c r="B829" s="2" t="s">
        <v>3164</v>
      </c>
      <c r="C829" s="2" t="s">
        <v>1743</v>
      </c>
      <c r="D829" s="2" t="s">
        <v>3165</v>
      </c>
      <c r="E829" s="2" t="s">
        <v>3982</v>
      </c>
      <c r="F829" s="4" t="s">
        <v>3167</v>
      </c>
    </row>
    <row r="830" spans="1:6" x14ac:dyDescent="0.3">
      <c r="A830" s="3" t="s">
        <v>2908</v>
      </c>
      <c r="B830" s="2" t="s">
        <v>3154</v>
      </c>
      <c r="C830" s="2" t="s">
        <v>1745</v>
      </c>
      <c r="D830" s="2" t="s">
        <v>3155</v>
      </c>
      <c r="E830" s="2" t="s">
        <v>3983</v>
      </c>
      <c r="F830" s="4" t="s">
        <v>3171</v>
      </c>
    </row>
    <row r="831" spans="1:6" x14ac:dyDescent="0.3">
      <c r="A831" s="3" t="s">
        <v>2909</v>
      </c>
      <c r="B831" s="2" t="s">
        <v>3229</v>
      </c>
      <c r="C831" s="2" t="s">
        <v>1747</v>
      </c>
      <c r="D831" s="2" t="s">
        <v>3230</v>
      </c>
      <c r="E831" s="2" t="s">
        <v>3984</v>
      </c>
      <c r="F831" s="4" t="s">
        <v>3173</v>
      </c>
    </row>
    <row r="832" spans="1:6" x14ac:dyDescent="0.3">
      <c r="A832" s="3" t="s">
        <v>2910</v>
      </c>
      <c r="B832" s="2" t="s">
        <v>3106</v>
      </c>
      <c r="C832" s="2" t="s">
        <v>1749</v>
      </c>
      <c r="D832" s="2" t="s">
        <v>3107</v>
      </c>
      <c r="E832" s="2" t="s">
        <v>3985</v>
      </c>
      <c r="F832" s="4" t="s">
        <v>3175</v>
      </c>
    </row>
    <row r="833" spans="1:6" x14ac:dyDescent="0.3">
      <c r="A833" s="3" t="s">
        <v>2911</v>
      </c>
      <c r="B833" s="2" t="s">
        <v>3229</v>
      </c>
      <c r="C833" s="2" t="s">
        <v>1751</v>
      </c>
      <c r="D833" s="2" t="s">
        <v>3230</v>
      </c>
      <c r="E833" s="2" t="s">
        <v>3986</v>
      </c>
      <c r="F833" s="4" t="s">
        <v>3179</v>
      </c>
    </row>
    <row r="834" spans="1:6" x14ac:dyDescent="0.3">
      <c r="A834" s="3" t="s">
        <v>2912</v>
      </c>
      <c r="B834" s="2" t="s">
        <v>3180</v>
      </c>
      <c r="C834" s="2" t="s">
        <v>1753</v>
      </c>
      <c r="D834" s="2" t="s">
        <v>3181</v>
      </c>
      <c r="E834" s="2" t="s">
        <v>3987</v>
      </c>
      <c r="F834" s="4" t="s">
        <v>3183</v>
      </c>
    </row>
    <row r="835" spans="1:6" x14ac:dyDescent="0.3">
      <c r="A835" s="3" t="s">
        <v>2913</v>
      </c>
      <c r="B835" s="2" t="s">
        <v>3085</v>
      </c>
      <c r="C835" s="2" t="s">
        <v>1755</v>
      </c>
      <c r="D835" s="2" t="s">
        <v>3087</v>
      </c>
      <c r="E835" s="2" t="s">
        <v>3240</v>
      </c>
      <c r="F835" s="4" t="s">
        <v>3185</v>
      </c>
    </row>
    <row r="836" spans="1:6" x14ac:dyDescent="0.3">
      <c r="A836" s="3" t="s">
        <v>2914</v>
      </c>
      <c r="B836" s="2" t="s">
        <v>3093</v>
      </c>
      <c r="C836" s="2" t="s">
        <v>1757</v>
      </c>
      <c r="D836" s="2" t="s">
        <v>3094</v>
      </c>
      <c r="E836" s="2" t="s">
        <v>3988</v>
      </c>
      <c r="F836" s="4" t="s">
        <v>3187</v>
      </c>
    </row>
    <row r="837" spans="1:6" x14ac:dyDescent="0.3">
      <c r="A837" s="3" t="s">
        <v>2915</v>
      </c>
      <c r="B837" s="2" t="s">
        <v>3119</v>
      </c>
      <c r="C837" s="2" t="s">
        <v>1759</v>
      </c>
      <c r="D837" s="2" t="s">
        <v>75</v>
      </c>
      <c r="E837" s="2" t="s">
        <v>3989</v>
      </c>
      <c r="F837" s="4" t="s">
        <v>3189</v>
      </c>
    </row>
    <row r="838" spans="1:6" x14ac:dyDescent="0.3">
      <c r="A838" s="3" t="s">
        <v>2916</v>
      </c>
      <c r="B838" s="2" t="s">
        <v>3102</v>
      </c>
      <c r="C838" s="2" t="s">
        <v>1761</v>
      </c>
      <c r="D838" s="2" t="s">
        <v>3103</v>
      </c>
      <c r="E838" s="2" t="s">
        <v>3990</v>
      </c>
      <c r="F838" s="4" t="s">
        <v>3191</v>
      </c>
    </row>
    <row r="839" spans="1:6" x14ac:dyDescent="0.3">
      <c r="A839" s="3" t="s">
        <v>2917</v>
      </c>
      <c r="B839" s="2" t="s">
        <v>3154</v>
      </c>
      <c r="C839" s="2" t="s">
        <v>1763</v>
      </c>
      <c r="D839" s="2" t="s">
        <v>3155</v>
      </c>
      <c r="E839" s="2" t="s">
        <v>3991</v>
      </c>
      <c r="F839" s="4" t="s">
        <v>3193</v>
      </c>
    </row>
    <row r="840" spans="1:6" x14ac:dyDescent="0.3">
      <c r="A840" s="3" t="s">
        <v>2918</v>
      </c>
      <c r="B840" s="2" t="s">
        <v>3139</v>
      </c>
      <c r="C840" s="2" t="s">
        <v>1765</v>
      </c>
      <c r="D840" s="2" t="s">
        <v>3107</v>
      </c>
      <c r="E840" s="2" t="s">
        <v>3992</v>
      </c>
      <c r="F840" s="4" t="s">
        <v>3196</v>
      </c>
    </row>
    <row r="841" spans="1:6" x14ac:dyDescent="0.3">
      <c r="A841" s="3" t="s">
        <v>2919</v>
      </c>
      <c r="B841" s="2" t="s">
        <v>3229</v>
      </c>
      <c r="C841" s="2" t="s">
        <v>1767</v>
      </c>
      <c r="D841" s="2" t="s">
        <v>3230</v>
      </c>
      <c r="E841" s="2" t="s">
        <v>3993</v>
      </c>
      <c r="F841" s="4" t="s">
        <v>3198</v>
      </c>
    </row>
    <row r="842" spans="1:6" x14ac:dyDescent="0.3">
      <c r="A842" s="3" t="s">
        <v>2920</v>
      </c>
      <c r="B842" s="2" t="s">
        <v>3194</v>
      </c>
      <c r="C842" s="2" t="s">
        <v>1769</v>
      </c>
      <c r="D842" s="2" t="s">
        <v>3155</v>
      </c>
      <c r="E842" s="2" t="s">
        <v>3994</v>
      </c>
      <c r="F842" s="4" t="s">
        <v>3200</v>
      </c>
    </row>
    <row r="843" spans="1:6" x14ac:dyDescent="0.3">
      <c r="A843" s="3" t="s">
        <v>2921</v>
      </c>
      <c r="B843" s="2" t="s">
        <v>3112</v>
      </c>
      <c r="C843" s="2" t="s">
        <v>1771</v>
      </c>
      <c r="D843" s="2" t="s">
        <v>64</v>
      </c>
      <c r="E843" s="2" t="s">
        <v>3995</v>
      </c>
      <c r="F843" s="4" t="s">
        <v>3202</v>
      </c>
    </row>
    <row r="844" spans="1:6" x14ac:dyDescent="0.3">
      <c r="A844" s="3" t="s">
        <v>2922</v>
      </c>
      <c r="B844" s="2" t="s">
        <v>3115</v>
      </c>
      <c r="C844" s="2" t="s">
        <v>1773</v>
      </c>
      <c r="D844" s="2" t="s">
        <v>3116</v>
      </c>
      <c r="E844" s="2" t="s">
        <v>3468</v>
      </c>
      <c r="F844" s="4" t="s">
        <v>3204</v>
      </c>
    </row>
    <row r="845" spans="1:6" x14ac:dyDescent="0.3">
      <c r="A845" s="3" t="s">
        <v>2923</v>
      </c>
      <c r="B845" s="2" t="s">
        <v>3106</v>
      </c>
      <c r="C845" s="2" t="s">
        <v>1775</v>
      </c>
      <c r="D845" s="2" t="s">
        <v>3107</v>
      </c>
      <c r="E845" s="2" t="s">
        <v>3444</v>
      </c>
      <c r="F845" s="4" t="s">
        <v>3206</v>
      </c>
    </row>
    <row r="846" spans="1:6" x14ac:dyDescent="0.3">
      <c r="A846" s="3" t="s">
        <v>2924</v>
      </c>
      <c r="B846" s="2" t="s">
        <v>3106</v>
      </c>
      <c r="C846" s="2" t="s">
        <v>1777</v>
      </c>
      <c r="D846" s="2" t="s">
        <v>3107</v>
      </c>
      <c r="E846" s="2" t="s">
        <v>3996</v>
      </c>
      <c r="F846" s="4" t="s">
        <v>3208</v>
      </c>
    </row>
    <row r="847" spans="1:6" x14ac:dyDescent="0.3">
      <c r="A847" s="3" t="s">
        <v>2925</v>
      </c>
      <c r="B847" s="2" t="s">
        <v>3085</v>
      </c>
      <c r="C847" s="2" t="s">
        <v>1779</v>
      </c>
      <c r="D847" s="2" t="s">
        <v>3087</v>
      </c>
      <c r="E847" s="2" t="s">
        <v>3997</v>
      </c>
      <c r="F847" s="4" t="s">
        <v>3210</v>
      </c>
    </row>
    <row r="848" spans="1:6" x14ac:dyDescent="0.3">
      <c r="A848" s="3" t="s">
        <v>2926</v>
      </c>
      <c r="B848" s="2" t="s">
        <v>3176</v>
      </c>
      <c r="C848" s="2" t="s">
        <v>1781</v>
      </c>
      <c r="D848" s="2" t="s">
        <v>3177</v>
      </c>
      <c r="E848" s="2" t="s">
        <v>3998</v>
      </c>
      <c r="F848" s="4" t="s">
        <v>3212</v>
      </c>
    </row>
    <row r="849" spans="1:6" x14ac:dyDescent="0.3">
      <c r="A849" s="3" t="s">
        <v>2927</v>
      </c>
      <c r="B849" s="2" t="s">
        <v>3164</v>
      </c>
      <c r="C849" s="2" t="s">
        <v>1783</v>
      </c>
      <c r="D849" s="2" t="s">
        <v>3165</v>
      </c>
      <c r="E849" s="2" t="s">
        <v>3912</v>
      </c>
      <c r="F849" s="4" t="s">
        <v>3216</v>
      </c>
    </row>
    <row r="850" spans="1:6" x14ac:dyDescent="0.3">
      <c r="A850" s="3" t="s">
        <v>2928</v>
      </c>
      <c r="B850" s="2" t="s">
        <v>3217</v>
      </c>
      <c r="C850" s="2" t="s">
        <v>1785</v>
      </c>
      <c r="D850" s="2" t="s">
        <v>3218</v>
      </c>
      <c r="E850" s="2" t="s">
        <v>3999</v>
      </c>
      <c r="F850" s="4" t="s">
        <v>3220</v>
      </c>
    </row>
    <row r="851" spans="1:6" x14ac:dyDescent="0.3">
      <c r="A851" s="3" t="s">
        <v>2929</v>
      </c>
      <c r="B851" s="2" t="s">
        <v>3176</v>
      </c>
      <c r="C851" s="2" t="s">
        <v>1787</v>
      </c>
      <c r="D851" s="2" t="s">
        <v>3177</v>
      </c>
      <c r="E851" s="2" t="s">
        <v>3916</v>
      </c>
      <c r="F851" s="4" t="s">
        <v>3222</v>
      </c>
    </row>
    <row r="852" spans="1:6" x14ac:dyDescent="0.3">
      <c r="A852" s="3" t="s">
        <v>2930</v>
      </c>
      <c r="B852" s="2" t="s">
        <v>3176</v>
      </c>
      <c r="C852" s="2" t="s">
        <v>1789</v>
      </c>
      <c r="D852" s="2" t="s">
        <v>3177</v>
      </c>
      <c r="E852" s="2" t="s">
        <v>4000</v>
      </c>
      <c r="F852" s="4" t="s">
        <v>3224</v>
      </c>
    </row>
    <row r="853" spans="1:6" x14ac:dyDescent="0.3">
      <c r="A853" s="3" t="s">
        <v>2931</v>
      </c>
      <c r="B853" s="2" t="s">
        <v>3139</v>
      </c>
      <c r="C853" s="2" t="s">
        <v>1791</v>
      </c>
      <c r="D853" s="2" t="s">
        <v>3107</v>
      </c>
      <c r="E853" s="2" t="s">
        <v>3800</v>
      </c>
      <c r="F853" s="4" t="s">
        <v>3226</v>
      </c>
    </row>
    <row r="854" spans="1:6" x14ac:dyDescent="0.3">
      <c r="A854" s="3" t="s">
        <v>2932</v>
      </c>
      <c r="B854" s="2" t="s">
        <v>3229</v>
      </c>
      <c r="C854" s="2" t="s">
        <v>1793</v>
      </c>
      <c r="D854" s="2" t="s">
        <v>3230</v>
      </c>
      <c r="E854" s="2" t="s">
        <v>4001</v>
      </c>
      <c r="F854" s="4" t="s">
        <v>3228</v>
      </c>
    </row>
    <row r="855" spans="1:6" x14ac:dyDescent="0.3">
      <c r="A855" s="3" t="s">
        <v>2933</v>
      </c>
      <c r="B855" s="2" t="s">
        <v>3115</v>
      </c>
      <c r="C855" s="2" t="s">
        <v>1795</v>
      </c>
      <c r="D855" s="2" t="s">
        <v>3116</v>
      </c>
      <c r="E855" s="2" t="s">
        <v>4002</v>
      </c>
      <c r="F855" s="4" t="s">
        <v>3232</v>
      </c>
    </row>
    <row r="856" spans="1:6" x14ac:dyDescent="0.3">
      <c r="A856" s="3" t="s">
        <v>2934</v>
      </c>
      <c r="B856" s="2" t="s">
        <v>3133</v>
      </c>
      <c r="C856" s="2" t="s">
        <v>1797</v>
      </c>
      <c r="D856" s="2" t="s">
        <v>3134</v>
      </c>
      <c r="E856" s="2" t="s">
        <v>4003</v>
      </c>
      <c r="F856" s="4" t="s">
        <v>3233</v>
      </c>
    </row>
    <row r="857" spans="1:6" x14ac:dyDescent="0.3">
      <c r="A857" s="3" t="s">
        <v>2935</v>
      </c>
      <c r="B857" s="2" t="s">
        <v>3115</v>
      </c>
      <c r="C857" s="2" t="s">
        <v>1799</v>
      </c>
      <c r="D857" s="2" t="s">
        <v>3116</v>
      </c>
      <c r="E857" s="2" t="s">
        <v>4004</v>
      </c>
      <c r="F857" s="4" t="s">
        <v>3235</v>
      </c>
    </row>
    <row r="858" spans="1:6" x14ac:dyDescent="0.3">
      <c r="A858" s="3" t="s">
        <v>2936</v>
      </c>
      <c r="B858" s="2" t="s">
        <v>3090</v>
      </c>
      <c r="C858" s="2" t="s">
        <v>1801</v>
      </c>
      <c r="D858" s="2" t="s">
        <v>3091</v>
      </c>
      <c r="E858" s="2" t="s">
        <v>3541</v>
      </c>
      <c r="F858" s="4" t="s">
        <v>3237</v>
      </c>
    </row>
    <row r="859" spans="1:6" x14ac:dyDescent="0.3">
      <c r="A859" s="3" t="s">
        <v>2937</v>
      </c>
      <c r="B859" s="2" t="s">
        <v>3217</v>
      </c>
      <c r="C859" s="2" t="s">
        <v>1803</v>
      </c>
      <c r="D859" s="2" t="s">
        <v>3218</v>
      </c>
      <c r="E859" s="2" t="s">
        <v>4005</v>
      </c>
      <c r="F859" s="4" t="s">
        <v>3239</v>
      </c>
    </row>
    <row r="860" spans="1:6" x14ac:dyDescent="0.3">
      <c r="A860" s="3" t="s">
        <v>2938</v>
      </c>
      <c r="B860" s="2" t="s">
        <v>3112</v>
      </c>
      <c r="C860" s="2" t="s">
        <v>1805</v>
      </c>
      <c r="D860" s="2" t="s">
        <v>64</v>
      </c>
      <c r="E860" s="2" t="s">
        <v>4006</v>
      </c>
      <c r="F860" s="4" t="s">
        <v>3241</v>
      </c>
    </row>
    <row r="861" spans="1:6" x14ac:dyDescent="0.3">
      <c r="A861" s="3" t="s">
        <v>2939</v>
      </c>
      <c r="B861" s="2" t="s">
        <v>3217</v>
      </c>
      <c r="C861" s="2" t="s">
        <v>1807</v>
      </c>
      <c r="D861" s="2" t="s">
        <v>3218</v>
      </c>
      <c r="E861" s="2" t="s">
        <v>4007</v>
      </c>
      <c r="F861" s="4" t="s">
        <v>3243</v>
      </c>
    </row>
    <row r="862" spans="1:6" x14ac:dyDescent="0.3">
      <c r="A862" s="3" t="s">
        <v>2940</v>
      </c>
      <c r="B862" s="2" t="s">
        <v>3168</v>
      </c>
      <c r="C862" s="2" t="s">
        <v>1809</v>
      </c>
      <c r="D862" s="2" t="s">
        <v>3169</v>
      </c>
      <c r="E862" s="2" t="s">
        <v>4008</v>
      </c>
      <c r="F862" s="4" t="s">
        <v>3245</v>
      </c>
    </row>
    <row r="863" spans="1:6" x14ac:dyDescent="0.3">
      <c r="A863" s="3" t="s">
        <v>2941</v>
      </c>
      <c r="B863" s="2" t="s">
        <v>3133</v>
      </c>
      <c r="C863" s="2" t="s">
        <v>1811</v>
      </c>
      <c r="D863" s="2" t="s">
        <v>3134</v>
      </c>
      <c r="E863" s="2" t="s">
        <v>3348</v>
      </c>
      <c r="F863" s="4" t="s">
        <v>3247</v>
      </c>
    </row>
    <row r="864" spans="1:6" x14ac:dyDescent="0.3">
      <c r="A864" s="3" t="s">
        <v>2942</v>
      </c>
      <c r="B864" s="2" t="s">
        <v>3180</v>
      </c>
      <c r="C864" s="2" t="s">
        <v>1813</v>
      </c>
      <c r="D864" s="2" t="s">
        <v>3181</v>
      </c>
      <c r="E864" s="2" t="s">
        <v>4009</v>
      </c>
      <c r="F864" s="4" t="s">
        <v>3249</v>
      </c>
    </row>
    <row r="865" spans="1:6" x14ac:dyDescent="0.3">
      <c r="A865" s="3" t="s">
        <v>2943</v>
      </c>
      <c r="B865" s="2" t="s">
        <v>3213</v>
      </c>
      <c r="C865" s="2" t="s">
        <v>4010</v>
      </c>
      <c r="D865" s="2" t="s">
        <v>3214</v>
      </c>
      <c r="E865" s="2" t="s">
        <v>4011</v>
      </c>
      <c r="F865" s="4" t="s">
        <v>3251</v>
      </c>
    </row>
    <row r="866" spans="1:6" x14ac:dyDescent="0.3">
      <c r="A866" s="3" t="s">
        <v>2944</v>
      </c>
      <c r="B866" s="2" t="s">
        <v>3150</v>
      </c>
      <c r="C866" s="2" t="s">
        <v>1817</v>
      </c>
      <c r="D866" s="2" t="s">
        <v>3151</v>
      </c>
      <c r="E866" s="2" t="s">
        <v>3124</v>
      </c>
      <c r="F866" s="4" t="s">
        <v>3253</v>
      </c>
    </row>
    <row r="867" spans="1:6" x14ac:dyDescent="0.3">
      <c r="A867" s="3" t="s">
        <v>2945</v>
      </c>
      <c r="B867" s="2" t="s">
        <v>3164</v>
      </c>
      <c r="C867" s="2" t="s">
        <v>1819</v>
      </c>
      <c r="D867" s="2" t="s">
        <v>3165</v>
      </c>
      <c r="E867" s="2" t="s">
        <v>4012</v>
      </c>
      <c r="F867" s="4" t="s">
        <v>3255</v>
      </c>
    </row>
    <row r="868" spans="1:6" x14ac:dyDescent="0.3">
      <c r="A868" s="3" t="s">
        <v>2946</v>
      </c>
      <c r="B868" s="2" t="s">
        <v>3115</v>
      </c>
      <c r="C868" s="2" t="s">
        <v>1821</v>
      </c>
      <c r="D868" s="2" t="s">
        <v>3116</v>
      </c>
      <c r="E868" s="2" t="s">
        <v>4013</v>
      </c>
      <c r="F868" s="4" t="s">
        <v>3257</v>
      </c>
    </row>
    <row r="869" spans="1:6" x14ac:dyDescent="0.3">
      <c r="A869" s="3" t="s">
        <v>2947</v>
      </c>
      <c r="B869" s="2" t="s">
        <v>3106</v>
      </c>
      <c r="C869" s="2" t="s">
        <v>1823</v>
      </c>
      <c r="D869" s="2" t="s">
        <v>3107</v>
      </c>
      <c r="E869" s="2" t="s">
        <v>4014</v>
      </c>
      <c r="F869" s="4" t="s">
        <v>3259</v>
      </c>
    </row>
    <row r="870" spans="1:6" x14ac:dyDescent="0.3">
      <c r="A870" s="3" t="s">
        <v>2948</v>
      </c>
      <c r="B870" s="2" t="s">
        <v>3213</v>
      </c>
      <c r="C870" s="2" t="s">
        <v>1825</v>
      </c>
      <c r="D870" s="2" t="s">
        <v>3214</v>
      </c>
      <c r="E870" s="2" t="s">
        <v>4015</v>
      </c>
      <c r="F870" s="4" t="s">
        <v>3261</v>
      </c>
    </row>
    <row r="871" spans="1:6" x14ac:dyDescent="0.3">
      <c r="A871" s="3" t="s">
        <v>2949</v>
      </c>
      <c r="B871" s="2" t="s">
        <v>3217</v>
      </c>
      <c r="C871" s="2" t="s">
        <v>1827</v>
      </c>
      <c r="D871" s="2" t="s">
        <v>3218</v>
      </c>
      <c r="E871" s="2" t="s">
        <v>4016</v>
      </c>
      <c r="F871" s="4" t="s">
        <v>3263</v>
      </c>
    </row>
    <row r="872" spans="1:6" x14ac:dyDescent="0.3">
      <c r="A872" s="3" t="s">
        <v>2950</v>
      </c>
      <c r="B872" s="2" t="s">
        <v>3164</v>
      </c>
      <c r="C872" s="2" t="s">
        <v>1829</v>
      </c>
      <c r="D872" s="2" t="s">
        <v>3165</v>
      </c>
      <c r="E872" s="2" t="s">
        <v>4017</v>
      </c>
      <c r="F872" s="4" t="s">
        <v>3265</v>
      </c>
    </row>
    <row r="873" spans="1:6" x14ac:dyDescent="0.3">
      <c r="A873" s="3" t="s">
        <v>2951</v>
      </c>
      <c r="B873" s="2" t="s">
        <v>3093</v>
      </c>
      <c r="C873" s="2" t="s">
        <v>1831</v>
      </c>
      <c r="D873" s="2" t="s">
        <v>3094</v>
      </c>
      <c r="E873" s="2" t="s">
        <v>4018</v>
      </c>
      <c r="F873" s="4" t="s">
        <v>3267</v>
      </c>
    </row>
    <row r="874" spans="1:6" x14ac:dyDescent="0.3">
      <c r="A874" s="3" t="s">
        <v>2952</v>
      </c>
      <c r="B874" s="2" t="s">
        <v>3229</v>
      </c>
      <c r="C874" s="2" t="s">
        <v>1833</v>
      </c>
      <c r="D874" s="2" t="s">
        <v>3230</v>
      </c>
      <c r="E874" s="2" t="s">
        <v>4019</v>
      </c>
      <c r="F874" s="4" t="s">
        <v>3269</v>
      </c>
    </row>
    <row r="875" spans="1:6" x14ac:dyDescent="0.3">
      <c r="A875" s="3" t="s">
        <v>2953</v>
      </c>
      <c r="B875" s="2" t="s">
        <v>3154</v>
      </c>
      <c r="C875" s="2" t="s">
        <v>1835</v>
      </c>
      <c r="D875" s="2" t="s">
        <v>3155</v>
      </c>
      <c r="E875" s="2" t="s">
        <v>4020</v>
      </c>
      <c r="F875" s="4" t="s">
        <v>3271</v>
      </c>
    </row>
    <row r="876" spans="1:6" x14ac:dyDescent="0.3">
      <c r="A876" s="3" t="s">
        <v>2954</v>
      </c>
      <c r="B876" s="2" t="s">
        <v>3164</v>
      </c>
      <c r="C876" s="2" t="s">
        <v>1837</v>
      </c>
      <c r="D876" s="2" t="s">
        <v>3165</v>
      </c>
      <c r="E876" s="2" t="s">
        <v>4021</v>
      </c>
      <c r="F876" s="4" t="s">
        <v>3273</v>
      </c>
    </row>
    <row r="877" spans="1:6" x14ac:dyDescent="0.3">
      <c r="A877" s="3" t="s">
        <v>2955</v>
      </c>
      <c r="B877" s="2" t="s">
        <v>3229</v>
      </c>
      <c r="C877" s="2" t="s">
        <v>1839</v>
      </c>
      <c r="D877" s="2" t="s">
        <v>3230</v>
      </c>
      <c r="E877" s="2" t="s">
        <v>3966</v>
      </c>
      <c r="F877" s="4" t="s">
        <v>3275</v>
      </c>
    </row>
    <row r="878" spans="1:6" x14ac:dyDescent="0.3">
      <c r="A878" s="3" t="s">
        <v>2956</v>
      </c>
      <c r="B878" s="2" t="s">
        <v>3139</v>
      </c>
      <c r="C878" s="2" t="s">
        <v>4022</v>
      </c>
      <c r="D878" s="2" t="s">
        <v>3107</v>
      </c>
      <c r="E878" s="2" t="s">
        <v>4023</v>
      </c>
      <c r="F878" s="4" t="s">
        <v>3277</v>
      </c>
    </row>
    <row r="879" spans="1:6" x14ac:dyDescent="0.3">
      <c r="A879" s="3" t="s">
        <v>2957</v>
      </c>
      <c r="B879" s="2" t="s">
        <v>3090</v>
      </c>
      <c r="C879" s="2" t="s">
        <v>1843</v>
      </c>
      <c r="D879" s="2" t="s">
        <v>3091</v>
      </c>
      <c r="E879" s="2" t="s">
        <v>4024</v>
      </c>
      <c r="F879" s="4" t="s">
        <v>3279</v>
      </c>
    </row>
    <row r="880" spans="1:6" x14ac:dyDescent="0.3">
      <c r="A880" s="3" t="s">
        <v>2958</v>
      </c>
      <c r="B880" s="2" t="s">
        <v>3112</v>
      </c>
      <c r="C880" s="2" t="s">
        <v>1845</v>
      </c>
      <c r="D880" s="2" t="s">
        <v>64</v>
      </c>
      <c r="E880" s="2" t="s">
        <v>4025</v>
      </c>
      <c r="F880" s="4" t="s">
        <v>3281</v>
      </c>
    </row>
    <row r="881" spans="1:6" x14ac:dyDescent="0.3">
      <c r="A881" s="3" t="s">
        <v>2959</v>
      </c>
      <c r="B881" s="2" t="s">
        <v>3154</v>
      </c>
      <c r="C881" s="2" t="s">
        <v>4026</v>
      </c>
      <c r="D881" s="2" t="s">
        <v>3155</v>
      </c>
      <c r="E881" s="2" t="s">
        <v>4027</v>
      </c>
      <c r="F881" s="4" t="s">
        <v>3283</v>
      </c>
    </row>
    <row r="882" spans="1:6" x14ac:dyDescent="0.3">
      <c r="A882" s="3" t="s">
        <v>2960</v>
      </c>
      <c r="B882" s="2" t="s">
        <v>3102</v>
      </c>
      <c r="C882" s="2" t="s">
        <v>1849</v>
      </c>
      <c r="D882" s="2" t="s">
        <v>3103</v>
      </c>
      <c r="E882" s="2" t="s">
        <v>4028</v>
      </c>
      <c r="F882" s="4" t="s">
        <v>3285</v>
      </c>
    </row>
    <row r="883" spans="1:6" x14ac:dyDescent="0.3">
      <c r="A883" s="3" t="s">
        <v>2961</v>
      </c>
      <c r="B883" s="2" t="s">
        <v>3180</v>
      </c>
      <c r="C883" s="2" t="s">
        <v>1851</v>
      </c>
      <c r="D883" s="2" t="s">
        <v>3181</v>
      </c>
      <c r="E883" s="2" t="s">
        <v>4029</v>
      </c>
      <c r="F883" s="4" t="s">
        <v>3287</v>
      </c>
    </row>
    <row r="884" spans="1:6" x14ac:dyDescent="0.3">
      <c r="A884" s="3" t="s">
        <v>2962</v>
      </c>
      <c r="B884" s="2" t="s">
        <v>3154</v>
      </c>
      <c r="C884" s="2" t="s">
        <v>1853</v>
      </c>
      <c r="D884" s="2" t="s">
        <v>3155</v>
      </c>
      <c r="E884" s="2" t="s">
        <v>4030</v>
      </c>
      <c r="F884" s="4" t="s">
        <v>3289</v>
      </c>
    </row>
    <row r="885" spans="1:6" x14ac:dyDescent="0.3">
      <c r="A885" s="3" t="s">
        <v>2963</v>
      </c>
      <c r="B885" s="2" t="s">
        <v>3168</v>
      </c>
      <c r="C885" s="2" t="s">
        <v>1855</v>
      </c>
      <c r="D885" s="2" t="s">
        <v>3169</v>
      </c>
      <c r="E885" s="2" t="s">
        <v>4031</v>
      </c>
      <c r="F885" s="4" t="s">
        <v>3291</v>
      </c>
    </row>
    <row r="886" spans="1:6" x14ac:dyDescent="0.3">
      <c r="A886" s="3" t="s">
        <v>2964</v>
      </c>
      <c r="B886" s="2" t="s">
        <v>3106</v>
      </c>
      <c r="C886" s="2" t="s">
        <v>1857</v>
      </c>
      <c r="D886" s="2" t="s">
        <v>3107</v>
      </c>
      <c r="E886" s="2" t="s">
        <v>4032</v>
      </c>
      <c r="F886" s="4" t="s">
        <v>3293</v>
      </c>
    </row>
    <row r="887" spans="1:6" x14ac:dyDescent="0.3">
      <c r="A887" s="3" t="s">
        <v>2326</v>
      </c>
      <c r="B887" s="2" t="s">
        <v>3102</v>
      </c>
      <c r="C887" s="2" t="s">
        <v>576</v>
      </c>
      <c r="D887" s="2" t="s">
        <v>3103</v>
      </c>
      <c r="E887" s="2" t="s">
        <v>3460</v>
      </c>
      <c r="F887" s="4" t="s">
        <v>3295</v>
      </c>
    </row>
    <row r="888" spans="1:6" x14ac:dyDescent="0.3">
      <c r="A888" s="3" t="s">
        <v>2965</v>
      </c>
      <c r="B888" s="2" t="s">
        <v>3119</v>
      </c>
      <c r="C888" s="2" t="s">
        <v>1860</v>
      </c>
      <c r="D888" s="2" t="s">
        <v>75</v>
      </c>
      <c r="E888" s="2" t="s">
        <v>4033</v>
      </c>
      <c r="F888" s="4" t="s">
        <v>3297</v>
      </c>
    </row>
    <row r="889" spans="1:6" x14ac:dyDescent="0.3">
      <c r="A889" s="3" t="s">
        <v>2966</v>
      </c>
      <c r="B889" s="2" t="s">
        <v>3106</v>
      </c>
      <c r="C889" s="2" t="s">
        <v>1862</v>
      </c>
      <c r="D889" s="2" t="s">
        <v>3107</v>
      </c>
      <c r="E889" s="2" t="s">
        <v>4034</v>
      </c>
      <c r="F889" s="4" t="s">
        <v>3299</v>
      </c>
    </row>
    <row r="890" spans="1:6" x14ac:dyDescent="0.3">
      <c r="A890" s="3" t="s">
        <v>2967</v>
      </c>
      <c r="B890" s="2" t="s">
        <v>3085</v>
      </c>
      <c r="C890" s="2" t="s">
        <v>1864</v>
      </c>
      <c r="D890" s="2" t="s">
        <v>3087</v>
      </c>
      <c r="E890" s="2" t="s">
        <v>4035</v>
      </c>
      <c r="F890" s="4" t="s">
        <v>3301</v>
      </c>
    </row>
    <row r="891" spans="1:6" x14ac:dyDescent="0.3">
      <c r="A891" s="3" t="s">
        <v>2968</v>
      </c>
      <c r="B891" s="2" t="s">
        <v>3133</v>
      </c>
      <c r="C891" s="2" t="s">
        <v>1866</v>
      </c>
      <c r="D891" s="2" t="s">
        <v>3134</v>
      </c>
      <c r="E891" s="2" t="s">
        <v>4036</v>
      </c>
      <c r="F891" s="4" t="s">
        <v>3303</v>
      </c>
    </row>
    <row r="892" spans="1:6" x14ac:dyDescent="0.3">
      <c r="A892" s="3" t="s">
        <v>2969</v>
      </c>
      <c r="B892" s="2" t="s">
        <v>3164</v>
      </c>
      <c r="C892" s="2" t="s">
        <v>1868</v>
      </c>
      <c r="D892" s="2" t="s">
        <v>3165</v>
      </c>
      <c r="E892" s="2" t="s">
        <v>4037</v>
      </c>
      <c r="F892" s="4" t="s">
        <v>3305</v>
      </c>
    </row>
    <row r="893" spans="1:6" x14ac:dyDescent="0.3">
      <c r="A893" s="3" t="s">
        <v>2970</v>
      </c>
      <c r="B893" s="2" t="s">
        <v>3085</v>
      </c>
      <c r="C893" s="2" t="s">
        <v>1870</v>
      </c>
      <c r="D893" s="2" t="s">
        <v>3087</v>
      </c>
      <c r="E893" s="2" t="s">
        <v>4038</v>
      </c>
      <c r="F893" s="4" t="s">
        <v>3307</v>
      </c>
    </row>
    <row r="894" spans="1:6" x14ac:dyDescent="0.3">
      <c r="A894" s="3" t="s">
        <v>2971</v>
      </c>
      <c r="B894" s="2" t="s">
        <v>3093</v>
      </c>
      <c r="C894" s="2" t="s">
        <v>1872</v>
      </c>
      <c r="D894" s="2" t="s">
        <v>3094</v>
      </c>
      <c r="E894" s="2" t="s">
        <v>4039</v>
      </c>
      <c r="F894" s="4" t="s">
        <v>3309</v>
      </c>
    </row>
    <row r="895" spans="1:6" x14ac:dyDescent="0.3">
      <c r="A895" s="3" t="s">
        <v>2972</v>
      </c>
      <c r="B895" s="2" t="s">
        <v>3139</v>
      </c>
      <c r="C895" s="2" t="s">
        <v>1874</v>
      </c>
      <c r="D895" s="2" t="s">
        <v>3107</v>
      </c>
      <c r="E895" s="2" t="s">
        <v>4040</v>
      </c>
      <c r="F895" s="4" t="s">
        <v>3311</v>
      </c>
    </row>
    <row r="896" spans="1:6" x14ac:dyDescent="0.3">
      <c r="A896" s="3" t="s">
        <v>2973</v>
      </c>
      <c r="B896" s="2" t="s">
        <v>3168</v>
      </c>
      <c r="C896" s="2" t="s">
        <v>1876</v>
      </c>
      <c r="D896" s="2" t="s">
        <v>3169</v>
      </c>
      <c r="E896" s="2" t="s">
        <v>4041</v>
      </c>
      <c r="F896" s="4" t="s">
        <v>3313</v>
      </c>
    </row>
    <row r="897" spans="1:6" x14ac:dyDescent="0.3">
      <c r="A897" s="3" t="s">
        <v>2974</v>
      </c>
      <c r="B897" s="2" t="s">
        <v>3168</v>
      </c>
      <c r="C897" s="2" t="s">
        <v>1878</v>
      </c>
      <c r="D897" s="2" t="s">
        <v>3169</v>
      </c>
      <c r="E897" s="2" t="s">
        <v>4042</v>
      </c>
      <c r="F897" s="4" t="s">
        <v>3315</v>
      </c>
    </row>
    <row r="898" spans="1:6" x14ac:dyDescent="0.3">
      <c r="A898" s="3" t="s">
        <v>2975</v>
      </c>
      <c r="B898" s="2" t="s">
        <v>3112</v>
      </c>
      <c r="C898" s="2" t="s">
        <v>1880</v>
      </c>
      <c r="D898" s="2" t="s">
        <v>64</v>
      </c>
      <c r="E898" s="2" t="s">
        <v>3137</v>
      </c>
      <c r="F898" s="4" t="s">
        <v>3317</v>
      </c>
    </row>
    <row r="899" spans="1:6" x14ac:dyDescent="0.3">
      <c r="A899" s="3" t="s">
        <v>2976</v>
      </c>
      <c r="B899" s="2" t="s">
        <v>3102</v>
      </c>
      <c r="C899" s="2" t="s">
        <v>1882</v>
      </c>
      <c r="D899" s="2" t="s">
        <v>3103</v>
      </c>
      <c r="E899" s="2" t="s">
        <v>4043</v>
      </c>
      <c r="F899" s="4" t="s">
        <v>3319</v>
      </c>
    </row>
    <row r="900" spans="1:6" x14ac:dyDescent="0.3">
      <c r="A900" s="3" t="s">
        <v>2977</v>
      </c>
      <c r="B900" s="2" t="s">
        <v>3093</v>
      </c>
      <c r="C900" s="2" t="s">
        <v>1884</v>
      </c>
      <c r="D900" s="2" t="s">
        <v>3094</v>
      </c>
      <c r="E900" s="2" t="s">
        <v>4044</v>
      </c>
      <c r="F900" s="4" t="s">
        <v>3321</v>
      </c>
    </row>
    <row r="901" spans="1:6" x14ac:dyDescent="0.3">
      <c r="A901" s="3" t="s">
        <v>2978</v>
      </c>
      <c r="B901" s="2" t="s">
        <v>3106</v>
      </c>
      <c r="C901" s="2" t="s">
        <v>1886</v>
      </c>
      <c r="D901" s="2" t="s">
        <v>3107</v>
      </c>
      <c r="E901" s="2" t="s">
        <v>4045</v>
      </c>
      <c r="F901" s="4" t="s">
        <v>3323</v>
      </c>
    </row>
    <row r="902" spans="1:6" x14ac:dyDescent="0.3">
      <c r="A902" s="3" t="s">
        <v>2979</v>
      </c>
      <c r="B902" s="2" t="s">
        <v>3112</v>
      </c>
      <c r="C902" s="2" t="s">
        <v>1888</v>
      </c>
      <c r="D902" s="2" t="s">
        <v>64</v>
      </c>
      <c r="E902" s="2" t="s">
        <v>4046</v>
      </c>
      <c r="F902" s="4" t="s">
        <v>3325</v>
      </c>
    </row>
    <row r="903" spans="1:6" x14ac:dyDescent="0.3">
      <c r="A903" s="3" t="s">
        <v>2980</v>
      </c>
      <c r="B903" s="2" t="s">
        <v>3164</v>
      </c>
      <c r="C903" s="2" t="s">
        <v>1890</v>
      </c>
      <c r="D903" s="2" t="s">
        <v>3165</v>
      </c>
      <c r="E903" s="2" t="s">
        <v>4047</v>
      </c>
      <c r="F903" s="4" t="s">
        <v>3089</v>
      </c>
    </row>
    <row r="904" spans="1:6" x14ac:dyDescent="0.3">
      <c r="A904" s="3" t="s">
        <v>2981</v>
      </c>
      <c r="B904" s="2" t="s">
        <v>3164</v>
      </c>
      <c r="C904" s="2" t="s">
        <v>1892</v>
      </c>
      <c r="D904" s="2" t="s">
        <v>3165</v>
      </c>
      <c r="E904" s="2" t="s">
        <v>4048</v>
      </c>
      <c r="F904" s="4" t="s">
        <v>3096</v>
      </c>
    </row>
    <row r="905" spans="1:6" x14ac:dyDescent="0.3">
      <c r="A905" s="3" t="s">
        <v>2982</v>
      </c>
      <c r="B905" s="2" t="s">
        <v>3122</v>
      </c>
      <c r="C905" s="2" t="s">
        <v>1894</v>
      </c>
      <c r="D905" s="2" t="s">
        <v>3123</v>
      </c>
      <c r="E905" s="2" t="s">
        <v>4049</v>
      </c>
      <c r="F905" s="4" t="s">
        <v>3098</v>
      </c>
    </row>
    <row r="906" spans="1:6" x14ac:dyDescent="0.3">
      <c r="A906" s="3" t="s">
        <v>2983</v>
      </c>
      <c r="B906" s="2" t="s">
        <v>3139</v>
      </c>
      <c r="C906" s="2" t="s">
        <v>1896</v>
      </c>
      <c r="D906" s="2" t="s">
        <v>3107</v>
      </c>
      <c r="E906" s="2" t="s">
        <v>4050</v>
      </c>
      <c r="F906" s="4" t="s">
        <v>3101</v>
      </c>
    </row>
    <row r="907" spans="1:6" x14ac:dyDescent="0.3">
      <c r="A907" s="3" t="s">
        <v>2984</v>
      </c>
      <c r="B907" s="2" t="s">
        <v>3119</v>
      </c>
      <c r="C907" s="2" t="s">
        <v>1898</v>
      </c>
      <c r="D907" s="2" t="s">
        <v>75</v>
      </c>
      <c r="E907" s="2" t="s">
        <v>4051</v>
      </c>
      <c r="F907" s="4" t="s">
        <v>3105</v>
      </c>
    </row>
    <row r="908" spans="1:6" x14ac:dyDescent="0.3">
      <c r="A908" s="3" t="s">
        <v>2985</v>
      </c>
      <c r="B908" s="2" t="s">
        <v>3122</v>
      </c>
      <c r="C908" s="2" t="s">
        <v>1900</v>
      </c>
      <c r="D908" s="2" t="s">
        <v>3123</v>
      </c>
      <c r="E908" s="2" t="s">
        <v>4052</v>
      </c>
      <c r="F908" s="4" t="s">
        <v>3109</v>
      </c>
    </row>
    <row r="909" spans="1:6" x14ac:dyDescent="0.3">
      <c r="A909" s="3" t="s">
        <v>2986</v>
      </c>
      <c r="B909" s="2" t="s">
        <v>3154</v>
      </c>
      <c r="C909" s="2" t="s">
        <v>1902</v>
      </c>
      <c r="D909" s="2" t="s">
        <v>3155</v>
      </c>
      <c r="E909" s="2" t="s">
        <v>4053</v>
      </c>
      <c r="F909" s="4" t="s">
        <v>3111</v>
      </c>
    </row>
    <row r="910" spans="1:6" x14ac:dyDescent="0.3">
      <c r="A910" s="3" t="s">
        <v>2987</v>
      </c>
      <c r="B910" s="2" t="s">
        <v>3115</v>
      </c>
      <c r="C910" s="2" t="s">
        <v>1904</v>
      </c>
      <c r="D910" s="2" t="s">
        <v>3116</v>
      </c>
      <c r="E910" s="2" t="s">
        <v>4054</v>
      </c>
      <c r="F910" s="4" t="s">
        <v>3114</v>
      </c>
    </row>
    <row r="911" spans="1:6" x14ac:dyDescent="0.3">
      <c r="A911" s="3" t="s">
        <v>2988</v>
      </c>
      <c r="B911" s="2" t="s">
        <v>3176</v>
      </c>
      <c r="C911" s="2" t="s">
        <v>1906</v>
      </c>
      <c r="D911" s="2" t="s">
        <v>3177</v>
      </c>
      <c r="E911" s="2" t="s">
        <v>4055</v>
      </c>
      <c r="F911" s="4" t="s">
        <v>3118</v>
      </c>
    </row>
    <row r="912" spans="1:6" x14ac:dyDescent="0.3">
      <c r="A912" s="3" t="s">
        <v>2989</v>
      </c>
      <c r="B912" s="2" t="s">
        <v>3139</v>
      </c>
      <c r="C912" s="2" t="s">
        <v>1908</v>
      </c>
      <c r="D912" s="2" t="s">
        <v>3107</v>
      </c>
      <c r="E912" s="2" t="s">
        <v>3979</v>
      </c>
      <c r="F912" s="4" t="s">
        <v>3121</v>
      </c>
    </row>
    <row r="913" spans="1:6" x14ac:dyDescent="0.3">
      <c r="A913" s="3" t="s">
        <v>2990</v>
      </c>
      <c r="B913" s="2" t="s">
        <v>3194</v>
      </c>
      <c r="C913" s="2" t="s">
        <v>1910</v>
      </c>
      <c r="D913" s="2" t="s">
        <v>3155</v>
      </c>
      <c r="E913" s="2" t="s">
        <v>4056</v>
      </c>
      <c r="F913" s="4" t="s">
        <v>3125</v>
      </c>
    </row>
    <row r="914" spans="1:6" x14ac:dyDescent="0.3">
      <c r="A914" s="3" t="s">
        <v>2302</v>
      </c>
      <c r="B914" s="2" t="s">
        <v>3194</v>
      </c>
      <c r="C914" s="2" t="s">
        <v>528</v>
      </c>
      <c r="D914" s="2" t="s">
        <v>3155</v>
      </c>
      <c r="E914" s="2" t="s">
        <v>3438</v>
      </c>
      <c r="F914" s="4" t="s">
        <v>3127</v>
      </c>
    </row>
    <row r="915" spans="1:6" x14ac:dyDescent="0.3">
      <c r="A915" s="3" t="s">
        <v>2991</v>
      </c>
      <c r="B915" s="2" t="s">
        <v>3194</v>
      </c>
      <c r="C915" s="2" t="s">
        <v>1913</v>
      </c>
      <c r="D915" s="2" t="s">
        <v>3155</v>
      </c>
      <c r="E915" s="2" t="s">
        <v>4057</v>
      </c>
      <c r="F915" s="4" t="s">
        <v>3130</v>
      </c>
    </row>
    <row r="916" spans="1:6" x14ac:dyDescent="0.3">
      <c r="A916" s="3" t="s">
        <v>2992</v>
      </c>
      <c r="B916" s="2" t="s">
        <v>3154</v>
      </c>
      <c r="C916" s="2" t="s">
        <v>1915</v>
      </c>
      <c r="D916" s="2" t="s">
        <v>3155</v>
      </c>
      <c r="E916" s="2" t="s">
        <v>4058</v>
      </c>
      <c r="F916" s="4" t="s">
        <v>3132</v>
      </c>
    </row>
    <row r="917" spans="1:6" x14ac:dyDescent="0.3">
      <c r="A917" s="3" t="s">
        <v>2993</v>
      </c>
      <c r="B917" s="2" t="s">
        <v>3115</v>
      </c>
      <c r="C917" s="2" t="s">
        <v>1917</v>
      </c>
      <c r="D917" s="2" t="s">
        <v>3116</v>
      </c>
      <c r="E917" s="2" t="s">
        <v>4059</v>
      </c>
      <c r="F917" s="4" t="s">
        <v>3136</v>
      </c>
    </row>
    <row r="918" spans="1:6" x14ac:dyDescent="0.3">
      <c r="A918" s="3" t="s">
        <v>2994</v>
      </c>
      <c r="B918" s="2" t="s">
        <v>3168</v>
      </c>
      <c r="C918" s="2" t="s">
        <v>1919</v>
      </c>
      <c r="D918" s="2" t="s">
        <v>3169</v>
      </c>
      <c r="E918" s="2" t="s">
        <v>4060</v>
      </c>
      <c r="F918" s="4" t="s">
        <v>3138</v>
      </c>
    </row>
    <row r="919" spans="1:6" x14ac:dyDescent="0.3">
      <c r="A919" s="3" t="s">
        <v>2995</v>
      </c>
      <c r="B919" s="2" t="s">
        <v>3085</v>
      </c>
      <c r="C919" s="2" t="s">
        <v>1921</v>
      </c>
      <c r="D919" s="2" t="s">
        <v>3087</v>
      </c>
      <c r="E919" s="2" t="s">
        <v>4061</v>
      </c>
      <c r="F919" s="4" t="s">
        <v>3141</v>
      </c>
    </row>
    <row r="920" spans="1:6" x14ac:dyDescent="0.3">
      <c r="A920" s="3" t="s">
        <v>2996</v>
      </c>
      <c r="B920" s="2" t="s">
        <v>3194</v>
      </c>
      <c r="C920" s="2" t="s">
        <v>1923</v>
      </c>
      <c r="D920" s="2" t="s">
        <v>3155</v>
      </c>
      <c r="E920" s="2" t="s">
        <v>4062</v>
      </c>
      <c r="F920" s="4" t="s">
        <v>3143</v>
      </c>
    </row>
    <row r="921" spans="1:6" x14ac:dyDescent="0.3">
      <c r="A921" s="3" t="s">
        <v>2997</v>
      </c>
      <c r="B921" s="2" t="s">
        <v>3115</v>
      </c>
      <c r="C921" s="2" t="s">
        <v>1925</v>
      </c>
      <c r="D921" s="2" t="s">
        <v>3116</v>
      </c>
      <c r="E921" s="2" t="s">
        <v>4063</v>
      </c>
      <c r="F921" s="4" t="s">
        <v>3145</v>
      </c>
    </row>
    <row r="922" spans="1:6" x14ac:dyDescent="0.3">
      <c r="A922" s="3" t="s">
        <v>2998</v>
      </c>
      <c r="B922" s="2" t="s">
        <v>3112</v>
      </c>
      <c r="C922" s="2" t="s">
        <v>1927</v>
      </c>
      <c r="D922" s="2" t="s">
        <v>64</v>
      </c>
      <c r="E922" s="2" t="s">
        <v>4064</v>
      </c>
      <c r="F922" s="4" t="s">
        <v>3147</v>
      </c>
    </row>
    <row r="923" spans="1:6" x14ac:dyDescent="0.3">
      <c r="A923" s="3" t="s">
        <v>2999</v>
      </c>
      <c r="B923" s="2" t="s">
        <v>3229</v>
      </c>
      <c r="C923" s="2" t="s">
        <v>1929</v>
      </c>
      <c r="D923" s="2" t="s">
        <v>3230</v>
      </c>
      <c r="E923" s="2" t="s">
        <v>4065</v>
      </c>
      <c r="F923" s="4" t="s">
        <v>3149</v>
      </c>
    </row>
    <row r="924" spans="1:6" x14ac:dyDescent="0.3">
      <c r="A924" s="3" t="s">
        <v>3000</v>
      </c>
      <c r="B924" s="2" t="s">
        <v>3154</v>
      </c>
      <c r="C924" s="2" t="s">
        <v>1931</v>
      </c>
      <c r="D924" s="2" t="s">
        <v>3155</v>
      </c>
      <c r="E924" s="2" t="s">
        <v>4066</v>
      </c>
      <c r="F924" s="4" t="s">
        <v>3153</v>
      </c>
    </row>
    <row r="925" spans="1:6" x14ac:dyDescent="0.3">
      <c r="A925" s="3" t="s">
        <v>3001</v>
      </c>
      <c r="B925" s="2" t="s">
        <v>3154</v>
      </c>
      <c r="C925" s="2" t="s">
        <v>1933</v>
      </c>
      <c r="D925" s="2" t="s">
        <v>3155</v>
      </c>
      <c r="E925" s="2" t="s">
        <v>4067</v>
      </c>
      <c r="F925" s="4" t="s">
        <v>3157</v>
      </c>
    </row>
    <row r="926" spans="1:6" x14ac:dyDescent="0.3">
      <c r="A926" s="3" t="s">
        <v>3002</v>
      </c>
      <c r="B926" s="2" t="s">
        <v>3150</v>
      </c>
      <c r="C926" s="2" t="s">
        <v>1935</v>
      </c>
      <c r="D926" s="2" t="s">
        <v>3151</v>
      </c>
      <c r="E926" s="2" t="s">
        <v>3158</v>
      </c>
      <c r="F926" s="4" t="s">
        <v>3159</v>
      </c>
    </row>
    <row r="927" spans="1:6" x14ac:dyDescent="0.3">
      <c r="A927" s="3" t="s">
        <v>3003</v>
      </c>
      <c r="B927" s="2" t="s">
        <v>3194</v>
      </c>
      <c r="C927" s="2" t="s">
        <v>1937</v>
      </c>
      <c r="D927" s="2" t="s">
        <v>3155</v>
      </c>
      <c r="E927" s="2" t="s">
        <v>4068</v>
      </c>
      <c r="F927" s="4" t="s">
        <v>3161</v>
      </c>
    </row>
    <row r="928" spans="1:6" x14ac:dyDescent="0.3">
      <c r="A928" s="3" t="s">
        <v>3004</v>
      </c>
      <c r="B928" s="2" t="s">
        <v>3194</v>
      </c>
      <c r="C928" s="2" t="s">
        <v>1939</v>
      </c>
      <c r="D928" s="2" t="s">
        <v>3155</v>
      </c>
      <c r="E928" s="2" t="s">
        <v>4069</v>
      </c>
      <c r="F928" s="4" t="s">
        <v>3163</v>
      </c>
    </row>
    <row r="929" spans="1:6" x14ac:dyDescent="0.3">
      <c r="A929" s="3" t="s">
        <v>3005</v>
      </c>
      <c r="B929" s="2" t="s">
        <v>3154</v>
      </c>
      <c r="C929" s="2" t="s">
        <v>1941</v>
      </c>
      <c r="D929" s="2" t="s">
        <v>3155</v>
      </c>
      <c r="E929" s="2" t="s">
        <v>4070</v>
      </c>
      <c r="F929" s="4" t="s">
        <v>3167</v>
      </c>
    </row>
    <row r="930" spans="1:6" x14ac:dyDescent="0.3">
      <c r="A930" s="3" t="s">
        <v>3006</v>
      </c>
      <c r="B930" s="2" t="s">
        <v>3164</v>
      </c>
      <c r="C930" s="2" t="s">
        <v>1943</v>
      </c>
      <c r="D930" s="2" t="s">
        <v>3165</v>
      </c>
      <c r="E930" s="2" t="s">
        <v>4071</v>
      </c>
      <c r="F930" s="4" t="s">
        <v>3171</v>
      </c>
    </row>
    <row r="931" spans="1:6" x14ac:dyDescent="0.3">
      <c r="A931" s="3" t="s">
        <v>3007</v>
      </c>
      <c r="B931" s="2" t="s">
        <v>3176</v>
      </c>
      <c r="C931" s="2" t="s">
        <v>1945</v>
      </c>
      <c r="D931" s="2" t="s">
        <v>3177</v>
      </c>
      <c r="E931" s="2" t="s">
        <v>4072</v>
      </c>
      <c r="F931" s="4" t="s">
        <v>3173</v>
      </c>
    </row>
    <row r="932" spans="1:6" x14ac:dyDescent="0.3">
      <c r="A932" s="3" t="s">
        <v>3008</v>
      </c>
      <c r="B932" s="2" t="s">
        <v>3115</v>
      </c>
      <c r="C932" s="2" t="s">
        <v>1947</v>
      </c>
      <c r="D932" s="2" t="s">
        <v>3116</v>
      </c>
      <c r="E932" s="2" t="s">
        <v>4073</v>
      </c>
      <c r="F932" s="4" t="s">
        <v>3175</v>
      </c>
    </row>
    <row r="933" spans="1:6" x14ac:dyDescent="0.3">
      <c r="A933" s="3" t="s">
        <v>3009</v>
      </c>
      <c r="B933" s="2" t="s">
        <v>3168</v>
      </c>
      <c r="C933" s="2" t="s">
        <v>1949</v>
      </c>
      <c r="D933" s="2" t="s">
        <v>3169</v>
      </c>
      <c r="E933" s="2" t="s">
        <v>3355</v>
      </c>
      <c r="F933" s="4" t="s">
        <v>3179</v>
      </c>
    </row>
    <row r="934" spans="1:6" x14ac:dyDescent="0.3">
      <c r="A934" s="3" t="s">
        <v>3010</v>
      </c>
      <c r="B934" s="2" t="s">
        <v>3090</v>
      </c>
      <c r="C934" s="2" t="s">
        <v>1951</v>
      </c>
      <c r="D934" s="2" t="s">
        <v>3091</v>
      </c>
      <c r="E934" s="2" t="s">
        <v>4074</v>
      </c>
      <c r="F934" s="4" t="s">
        <v>3183</v>
      </c>
    </row>
    <row r="935" spans="1:6" x14ac:dyDescent="0.3">
      <c r="A935" s="3" t="s">
        <v>3011</v>
      </c>
      <c r="B935" s="2" t="s">
        <v>3106</v>
      </c>
      <c r="C935" s="2" t="s">
        <v>1953</v>
      </c>
      <c r="D935" s="2" t="s">
        <v>3107</v>
      </c>
      <c r="E935" s="2" t="s">
        <v>4075</v>
      </c>
      <c r="F935" s="4" t="s">
        <v>3185</v>
      </c>
    </row>
    <row r="936" spans="1:6" x14ac:dyDescent="0.3">
      <c r="A936" s="3" t="s">
        <v>3012</v>
      </c>
      <c r="B936" s="2" t="s">
        <v>3217</v>
      </c>
      <c r="C936" s="2" t="s">
        <v>1955</v>
      </c>
      <c r="D936" s="2" t="s">
        <v>3218</v>
      </c>
      <c r="E936" s="2" t="s">
        <v>4076</v>
      </c>
      <c r="F936" s="4" t="s">
        <v>3187</v>
      </c>
    </row>
    <row r="937" spans="1:6" x14ac:dyDescent="0.3">
      <c r="A937" s="3" t="s">
        <v>3013</v>
      </c>
      <c r="B937" s="2" t="s">
        <v>3164</v>
      </c>
      <c r="C937" s="2" t="s">
        <v>1957</v>
      </c>
      <c r="D937" s="2" t="s">
        <v>3165</v>
      </c>
      <c r="E937" s="2" t="s">
        <v>4077</v>
      </c>
      <c r="F937" s="4" t="s">
        <v>3189</v>
      </c>
    </row>
    <row r="938" spans="1:6" x14ac:dyDescent="0.3">
      <c r="A938" s="3" t="s">
        <v>3014</v>
      </c>
      <c r="B938" s="2" t="s">
        <v>3102</v>
      </c>
      <c r="C938" s="2" t="s">
        <v>1959</v>
      </c>
      <c r="D938" s="2" t="s">
        <v>3103</v>
      </c>
      <c r="E938" s="2" t="s">
        <v>4078</v>
      </c>
      <c r="F938" s="4" t="s">
        <v>3191</v>
      </c>
    </row>
    <row r="939" spans="1:6" x14ac:dyDescent="0.3">
      <c r="A939" s="3" t="s">
        <v>3015</v>
      </c>
      <c r="B939" s="2" t="s">
        <v>3085</v>
      </c>
      <c r="C939" s="2" t="s">
        <v>1961</v>
      </c>
      <c r="D939" s="2" t="s">
        <v>3087</v>
      </c>
      <c r="E939" s="2" t="s">
        <v>4079</v>
      </c>
      <c r="F939" s="4" t="s">
        <v>3193</v>
      </c>
    </row>
    <row r="940" spans="1:6" x14ac:dyDescent="0.3">
      <c r="A940" s="3" t="s">
        <v>3016</v>
      </c>
      <c r="B940" s="2" t="s">
        <v>3154</v>
      </c>
      <c r="C940" s="2" t="s">
        <v>1963</v>
      </c>
      <c r="D940" s="2" t="s">
        <v>3155</v>
      </c>
      <c r="E940" s="2" t="s">
        <v>4080</v>
      </c>
      <c r="F940" s="4" t="s">
        <v>3196</v>
      </c>
    </row>
    <row r="941" spans="1:6" x14ac:dyDescent="0.3">
      <c r="A941" s="3" t="s">
        <v>3017</v>
      </c>
      <c r="B941" s="2" t="s">
        <v>3229</v>
      </c>
      <c r="C941" s="2" t="s">
        <v>1965</v>
      </c>
      <c r="D941" s="2" t="s">
        <v>3230</v>
      </c>
      <c r="E941" s="2" t="s">
        <v>4081</v>
      </c>
      <c r="F941" s="4" t="s">
        <v>3198</v>
      </c>
    </row>
    <row r="942" spans="1:6" x14ac:dyDescent="0.3">
      <c r="A942" s="3" t="s">
        <v>3018</v>
      </c>
      <c r="B942" s="2" t="s">
        <v>3106</v>
      </c>
      <c r="C942" s="2" t="s">
        <v>1967</v>
      </c>
      <c r="D942" s="2" t="s">
        <v>3107</v>
      </c>
      <c r="E942" s="2" t="s">
        <v>4082</v>
      </c>
      <c r="F942" s="4" t="s">
        <v>3200</v>
      </c>
    </row>
    <row r="943" spans="1:6" x14ac:dyDescent="0.3">
      <c r="A943" s="3" t="s">
        <v>3019</v>
      </c>
      <c r="B943" s="2" t="s">
        <v>3150</v>
      </c>
      <c r="C943" s="2" t="s">
        <v>1969</v>
      </c>
      <c r="D943" s="2" t="s">
        <v>3151</v>
      </c>
      <c r="E943" s="2" t="s">
        <v>4083</v>
      </c>
      <c r="F943" s="4" t="s">
        <v>3202</v>
      </c>
    </row>
    <row r="944" spans="1:6" x14ac:dyDescent="0.3">
      <c r="A944" s="3" t="s">
        <v>3020</v>
      </c>
      <c r="B944" s="2" t="s">
        <v>3168</v>
      </c>
      <c r="C944" s="2" t="s">
        <v>1971</v>
      </c>
      <c r="D944" s="2" t="s">
        <v>3169</v>
      </c>
      <c r="E944" s="2" t="s">
        <v>4084</v>
      </c>
      <c r="F944" s="4" t="s">
        <v>3204</v>
      </c>
    </row>
    <row r="945" spans="1:6" x14ac:dyDescent="0.3">
      <c r="A945" s="3" t="s">
        <v>3021</v>
      </c>
      <c r="B945" s="2" t="s">
        <v>3150</v>
      </c>
      <c r="C945" s="2" t="s">
        <v>1973</v>
      </c>
      <c r="D945" s="2" t="s">
        <v>3151</v>
      </c>
      <c r="E945" s="2" t="s">
        <v>4085</v>
      </c>
      <c r="F945" s="4" t="s">
        <v>3206</v>
      </c>
    </row>
    <row r="946" spans="1:6" x14ac:dyDescent="0.3">
      <c r="A946" s="3" t="s">
        <v>3022</v>
      </c>
      <c r="B946" s="2" t="s">
        <v>3180</v>
      </c>
      <c r="C946" s="2" t="s">
        <v>1975</v>
      </c>
      <c r="D946" s="2" t="s">
        <v>3181</v>
      </c>
      <c r="E946" s="2" t="s">
        <v>4086</v>
      </c>
      <c r="F946" s="4" t="s">
        <v>3208</v>
      </c>
    </row>
    <row r="947" spans="1:6" x14ac:dyDescent="0.3">
      <c r="A947" s="3" t="s">
        <v>3023</v>
      </c>
      <c r="B947" s="2" t="s">
        <v>3115</v>
      </c>
      <c r="C947" s="2" t="s">
        <v>1977</v>
      </c>
      <c r="D947" s="2" t="s">
        <v>3116</v>
      </c>
      <c r="E947" s="2" t="s">
        <v>4087</v>
      </c>
      <c r="F947" s="4" t="s">
        <v>3210</v>
      </c>
    </row>
    <row r="948" spans="1:6" x14ac:dyDescent="0.3">
      <c r="A948" s="3" t="s">
        <v>3024</v>
      </c>
      <c r="B948" s="2" t="s">
        <v>3217</v>
      </c>
      <c r="C948" s="2" t="s">
        <v>1979</v>
      </c>
      <c r="D948" s="2" t="s">
        <v>3218</v>
      </c>
      <c r="E948" s="2" t="s">
        <v>4088</v>
      </c>
      <c r="F948" s="4" t="s">
        <v>3212</v>
      </c>
    </row>
    <row r="949" spans="1:6" x14ac:dyDescent="0.3">
      <c r="A949" s="3" t="s">
        <v>3025</v>
      </c>
      <c r="B949" s="2" t="s">
        <v>3115</v>
      </c>
      <c r="C949" s="2" t="s">
        <v>1981</v>
      </c>
      <c r="D949" s="2" t="s">
        <v>3116</v>
      </c>
      <c r="E949" s="2" t="s">
        <v>3914</v>
      </c>
      <c r="F949" s="4" t="s">
        <v>3216</v>
      </c>
    </row>
    <row r="950" spans="1:6" x14ac:dyDescent="0.3">
      <c r="A950" s="3" t="s">
        <v>3026</v>
      </c>
      <c r="B950" s="2" t="s">
        <v>3176</v>
      </c>
      <c r="C950" s="2" t="s">
        <v>1983</v>
      </c>
      <c r="D950" s="2" t="s">
        <v>3177</v>
      </c>
      <c r="E950" s="2" t="s">
        <v>4089</v>
      </c>
      <c r="F950" s="4" t="s">
        <v>3220</v>
      </c>
    </row>
    <row r="951" spans="1:6" x14ac:dyDescent="0.3">
      <c r="A951" s="3" t="s">
        <v>3027</v>
      </c>
      <c r="B951" s="2" t="s">
        <v>3150</v>
      </c>
      <c r="C951" s="2" t="s">
        <v>1985</v>
      </c>
      <c r="D951" s="2" t="s">
        <v>3151</v>
      </c>
      <c r="E951" s="2" t="s">
        <v>4090</v>
      </c>
      <c r="F951" s="4" t="s">
        <v>3222</v>
      </c>
    </row>
    <row r="952" spans="1:6" x14ac:dyDescent="0.3">
      <c r="A952" s="3" t="s">
        <v>3028</v>
      </c>
      <c r="B952" s="2" t="s">
        <v>3119</v>
      </c>
      <c r="C952" s="2" t="s">
        <v>1987</v>
      </c>
      <c r="D952" s="2" t="s">
        <v>75</v>
      </c>
      <c r="E952" s="2" t="s">
        <v>4091</v>
      </c>
      <c r="F952" s="4" t="s">
        <v>3224</v>
      </c>
    </row>
    <row r="953" spans="1:6" x14ac:dyDescent="0.3">
      <c r="A953" s="3" t="s">
        <v>3029</v>
      </c>
      <c r="B953" s="2" t="s">
        <v>3217</v>
      </c>
      <c r="C953" s="2" t="s">
        <v>1989</v>
      </c>
      <c r="D953" s="2" t="s">
        <v>3218</v>
      </c>
      <c r="E953" s="2" t="s">
        <v>3744</v>
      </c>
      <c r="F953" s="4" t="s">
        <v>3226</v>
      </c>
    </row>
    <row r="954" spans="1:6" x14ac:dyDescent="0.3">
      <c r="A954" s="3" t="s">
        <v>3030</v>
      </c>
      <c r="B954" s="2" t="s">
        <v>3115</v>
      </c>
      <c r="C954" s="2" t="s">
        <v>1991</v>
      </c>
      <c r="D954" s="2" t="s">
        <v>3116</v>
      </c>
      <c r="E954" s="2" t="s">
        <v>4092</v>
      </c>
      <c r="F954" s="4" t="s">
        <v>3228</v>
      </c>
    </row>
    <row r="955" spans="1:6" x14ac:dyDescent="0.3">
      <c r="A955" s="3" t="s">
        <v>3031</v>
      </c>
      <c r="B955" s="2" t="s">
        <v>3119</v>
      </c>
      <c r="C955" s="2" t="s">
        <v>1993</v>
      </c>
      <c r="D955" s="2" t="s">
        <v>75</v>
      </c>
      <c r="E955" s="2" t="s">
        <v>4093</v>
      </c>
      <c r="F955" s="4" t="s">
        <v>3232</v>
      </c>
    </row>
    <row r="956" spans="1:6" x14ac:dyDescent="0.3">
      <c r="A956" s="3" t="s">
        <v>3032</v>
      </c>
      <c r="B956" s="2" t="s">
        <v>3168</v>
      </c>
      <c r="C956" s="2" t="s">
        <v>1995</v>
      </c>
      <c r="D956" s="2" t="s">
        <v>3169</v>
      </c>
      <c r="E956" s="2" t="s">
        <v>4094</v>
      </c>
      <c r="F956" s="4" t="s">
        <v>3233</v>
      </c>
    </row>
    <row r="957" spans="1:6" x14ac:dyDescent="0.3">
      <c r="A957" s="3" t="s">
        <v>3033</v>
      </c>
      <c r="B957" s="2" t="s">
        <v>3090</v>
      </c>
      <c r="C957" s="2" t="s">
        <v>1997</v>
      </c>
      <c r="D957" s="2" t="s">
        <v>3091</v>
      </c>
      <c r="E957" s="2" t="s">
        <v>4095</v>
      </c>
      <c r="F957" s="4" t="s">
        <v>3235</v>
      </c>
    </row>
    <row r="958" spans="1:6" x14ac:dyDescent="0.3">
      <c r="A958" s="3" t="s">
        <v>3034</v>
      </c>
      <c r="B958" s="2" t="s">
        <v>3090</v>
      </c>
      <c r="C958" s="2" t="s">
        <v>1999</v>
      </c>
      <c r="D958" s="2" t="s">
        <v>3091</v>
      </c>
      <c r="E958" s="2" t="s">
        <v>4096</v>
      </c>
      <c r="F958" s="4" t="s">
        <v>3237</v>
      </c>
    </row>
    <row r="959" spans="1:6" x14ac:dyDescent="0.3">
      <c r="A959" s="3" t="s">
        <v>3035</v>
      </c>
      <c r="B959" s="2" t="s">
        <v>3115</v>
      </c>
      <c r="C959" s="2" t="s">
        <v>2001</v>
      </c>
      <c r="D959" s="2" t="s">
        <v>3116</v>
      </c>
      <c r="E959" s="2" t="s">
        <v>4097</v>
      </c>
      <c r="F959" s="4" t="s">
        <v>3239</v>
      </c>
    </row>
    <row r="960" spans="1:6" x14ac:dyDescent="0.3">
      <c r="A960" s="3" t="s">
        <v>3036</v>
      </c>
      <c r="B960" s="2" t="s">
        <v>3176</v>
      </c>
      <c r="C960" s="2" t="s">
        <v>2003</v>
      </c>
      <c r="D960" s="2" t="s">
        <v>3177</v>
      </c>
      <c r="E960" s="2" t="s">
        <v>4098</v>
      </c>
      <c r="F960" s="4" t="s">
        <v>3241</v>
      </c>
    </row>
    <row r="961" spans="1:6" x14ac:dyDescent="0.3">
      <c r="A961" s="3" t="s">
        <v>3037</v>
      </c>
      <c r="B961" s="2" t="s">
        <v>3180</v>
      </c>
      <c r="C961" s="2" t="s">
        <v>2005</v>
      </c>
      <c r="D961" s="2" t="s">
        <v>3181</v>
      </c>
      <c r="E961" s="2" t="s">
        <v>4099</v>
      </c>
      <c r="F961" s="4" t="s">
        <v>3243</v>
      </c>
    </row>
    <row r="962" spans="1:6" x14ac:dyDescent="0.3">
      <c r="A962" s="3" t="s">
        <v>3038</v>
      </c>
      <c r="B962" s="2" t="s">
        <v>3102</v>
      </c>
      <c r="C962" s="2" t="s">
        <v>2007</v>
      </c>
      <c r="D962" s="2" t="s">
        <v>3103</v>
      </c>
      <c r="E962" s="2" t="s">
        <v>4100</v>
      </c>
      <c r="F962" s="4" t="s">
        <v>3245</v>
      </c>
    </row>
    <row r="963" spans="1:6" x14ac:dyDescent="0.3">
      <c r="A963" s="3" t="s">
        <v>3039</v>
      </c>
      <c r="B963" s="2" t="s">
        <v>3093</v>
      </c>
      <c r="C963" s="2" t="s">
        <v>2009</v>
      </c>
      <c r="D963" s="2" t="s">
        <v>3094</v>
      </c>
      <c r="E963" s="2" t="s">
        <v>3730</v>
      </c>
      <c r="F963" s="4" t="s">
        <v>3247</v>
      </c>
    </row>
    <row r="964" spans="1:6" x14ac:dyDescent="0.3">
      <c r="A964" s="3" t="s">
        <v>3040</v>
      </c>
      <c r="B964" s="2" t="s">
        <v>3150</v>
      </c>
      <c r="C964" s="2" t="s">
        <v>2011</v>
      </c>
      <c r="D964" s="2" t="s">
        <v>3151</v>
      </c>
      <c r="E964" s="2" t="s">
        <v>4101</v>
      </c>
      <c r="F964" s="4" t="s">
        <v>3249</v>
      </c>
    </row>
    <row r="965" spans="1:6" x14ac:dyDescent="0.3">
      <c r="A965" s="3" t="s">
        <v>3041</v>
      </c>
      <c r="B965" s="2" t="s">
        <v>3093</v>
      </c>
      <c r="C965" s="2" t="s">
        <v>2013</v>
      </c>
      <c r="D965" s="2" t="s">
        <v>3094</v>
      </c>
      <c r="E965" s="2" t="s">
        <v>4102</v>
      </c>
      <c r="F965" s="4" t="s">
        <v>3251</v>
      </c>
    </row>
    <row r="966" spans="1:6" x14ac:dyDescent="0.3">
      <c r="A966" s="3" t="s">
        <v>3042</v>
      </c>
      <c r="B966" s="2" t="s">
        <v>3119</v>
      </c>
      <c r="C966" s="2" t="s">
        <v>2015</v>
      </c>
      <c r="D966" s="2" t="s">
        <v>75</v>
      </c>
      <c r="E966" s="2" t="s">
        <v>4103</v>
      </c>
      <c r="F966" s="4" t="s">
        <v>3253</v>
      </c>
    </row>
    <row r="967" spans="1:6" x14ac:dyDescent="0.3">
      <c r="A967" s="3" t="s">
        <v>3043</v>
      </c>
      <c r="B967" s="2" t="s">
        <v>3102</v>
      </c>
      <c r="C967" s="2" t="s">
        <v>4104</v>
      </c>
      <c r="D967" s="2" t="s">
        <v>3103</v>
      </c>
      <c r="E967" s="2" t="s">
        <v>4105</v>
      </c>
      <c r="F967" s="4" t="s">
        <v>3255</v>
      </c>
    </row>
    <row r="968" spans="1:6" x14ac:dyDescent="0.3">
      <c r="A968" s="3" t="s">
        <v>3044</v>
      </c>
      <c r="B968" s="2" t="s">
        <v>3154</v>
      </c>
      <c r="C968" s="2" t="s">
        <v>2019</v>
      </c>
      <c r="D968" s="2" t="s">
        <v>3155</v>
      </c>
      <c r="E968" s="2" t="s">
        <v>4106</v>
      </c>
      <c r="F968" s="4" t="s">
        <v>3257</v>
      </c>
    </row>
    <row r="969" spans="1:6" x14ac:dyDescent="0.3">
      <c r="A969" s="3" t="s">
        <v>3045</v>
      </c>
      <c r="B969" s="2" t="s">
        <v>3119</v>
      </c>
      <c r="C969" s="2" t="s">
        <v>2021</v>
      </c>
      <c r="D969" s="2" t="s">
        <v>75</v>
      </c>
      <c r="E969" s="2" t="s">
        <v>4107</v>
      </c>
      <c r="F969" s="4" t="s">
        <v>3259</v>
      </c>
    </row>
    <row r="970" spans="1:6" x14ac:dyDescent="0.3">
      <c r="A970" s="3" t="s">
        <v>3046</v>
      </c>
      <c r="B970" s="2" t="s">
        <v>3139</v>
      </c>
      <c r="C970" s="2" t="s">
        <v>4108</v>
      </c>
      <c r="D970" s="2" t="s">
        <v>3107</v>
      </c>
      <c r="E970" s="2" t="s">
        <v>4109</v>
      </c>
      <c r="F970" s="4" t="s">
        <v>3261</v>
      </c>
    </row>
    <row r="971" spans="1:6" x14ac:dyDescent="0.3">
      <c r="A971" s="3" t="s">
        <v>3047</v>
      </c>
      <c r="B971" s="2" t="s">
        <v>3139</v>
      </c>
      <c r="C971" s="2" t="s">
        <v>2025</v>
      </c>
      <c r="D971" s="2" t="s">
        <v>3107</v>
      </c>
      <c r="E971" s="2" t="s">
        <v>3921</v>
      </c>
      <c r="F971" s="4" t="s">
        <v>3263</v>
      </c>
    </row>
    <row r="972" spans="1:6" x14ac:dyDescent="0.3">
      <c r="A972" s="3" t="s">
        <v>3048</v>
      </c>
      <c r="B972" s="2" t="s">
        <v>3176</v>
      </c>
      <c r="C972" s="2" t="s">
        <v>2027</v>
      </c>
      <c r="D972" s="2" t="s">
        <v>3177</v>
      </c>
      <c r="E972" s="2" t="s">
        <v>4110</v>
      </c>
      <c r="F972" s="4" t="s">
        <v>3265</v>
      </c>
    </row>
    <row r="973" spans="1:6" x14ac:dyDescent="0.3">
      <c r="A973" s="3" t="s">
        <v>3049</v>
      </c>
      <c r="B973" s="2" t="s">
        <v>3176</v>
      </c>
      <c r="C973" s="2" t="s">
        <v>2029</v>
      </c>
      <c r="D973" s="2" t="s">
        <v>3177</v>
      </c>
      <c r="E973" s="2" t="s">
        <v>4111</v>
      </c>
      <c r="F973" s="4" t="s">
        <v>3267</v>
      </c>
    </row>
    <row r="974" spans="1:6" x14ac:dyDescent="0.3">
      <c r="A974" s="3" t="s">
        <v>3050</v>
      </c>
      <c r="B974" s="2" t="s">
        <v>3106</v>
      </c>
      <c r="C974" s="2" t="s">
        <v>2031</v>
      </c>
      <c r="D974" s="2" t="s">
        <v>3107</v>
      </c>
      <c r="E974" s="2" t="s">
        <v>3803</v>
      </c>
      <c r="F974" s="4" t="s">
        <v>3269</v>
      </c>
    </row>
    <row r="975" spans="1:6" x14ac:dyDescent="0.3">
      <c r="A975" s="3" t="s">
        <v>3051</v>
      </c>
      <c r="B975" s="2" t="s">
        <v>3154</v>
      </c>
      <c r="C975" s="2" t="s">
        <v>2033</v>
      </c>
      <c r="D975" s="2" t="s">
        <v>3155</v>
      </c>
      <c r="E975" s="2" t="s">
        <v>4112</v>
      </c>
      <c r="F975" s="4" t="s">
        <v>3271</v>
      </c>
    </row>
    <row r="976" spans="1:6" x14ac:dyDescent="0.3">
      <c r="A976" s="3" t="s">
        <v>3052</v>
      </c>
      <c r="B976" s="2" t="s">
        <v>3229</v>
      </c>
      <c r="C976" s="2" t="s">
        <v>2035</v>
      </c>
      <c r="D976" s="2" t="s">
        <v>3230</v>
      </c>
      <c r="E976" s="2" t="s">
        <v>4113</v>
      </c>
      <c r="F976" s="4" t="s">
        <v>3273</v>
      </c>
    </row>
    <row r="977" spans="1:6" x14ac:dyDescent="0.3">
      <c r="A977" s="3" t="s">
        <v>3053</v>
      </c>
      <c r="B977" s="2" t="s">
        <v>3154</v>
      </c>
      <c r="C977" s="2" t="s">
        <v>2037</v>
      </c>
      <c r="D977" s="2" t="s">
        <v>3155</v>
      </c>
      <c r="E977" s="2" t="s">
        <v>4114</v>
      </c>
      <c r="F977" s="4" t="s">
        <v>3275</v>
      </c>
    </row>
    <row r="978" spans="1:6" x14ac:dyDescent="0.3">
      <c r="A978" s="3" t="s">
        <v>3054</v>
      </c>
      <c r="B978" s="2" t="s">
        <v>3164</v>
      </c>
      <c r="C978" s="2" t="s">
        <v>2039</v>
      </c>
      <c r="D978" s="2" t="s">
        <v>3165</v>
      </c>
      <c r="E978" s="2" t="s">
        <v>4115</v>
      </c>
      <c r="F978" s="4" t="s">
        <v>3277</v>
      </c>
    </row>
    <row r="979" spans="1:6" x14ac:dyDescent="0.3">
      <c r="A979" s="3" t="s">
        <v>3055</v>
      </c>
      <c r="B979" s="2" t="s">
        <v>3119</v>
      </c>
      <c r="C979" s="2" t="s">
        <v>2041</v>
      </c>
      <c r="D979" s="2" t="s">
        <v>75</v>
      </c>
      <c r="E979" s="2" t="s">
        <v>4116</v>
      </c>
      <c r="F979" s="4" t="s">
        <v>3279</v>
      </c>
    </row>
    <row r="980" spans="1:6" x14ac:dyDescent="0.3">
      <c r="A980" s="3" t="s">
        <v>3056</v>
      </c>
      <c r="B980" s="2" t="s">
        <v>3213</v>
      </c>
      <c r="C980" s="2" t="s">
        <v>2043</v>
      </c>
      <c r="D980" s="2" t="s">
        <v>3214</v>
      </c>
      <c r="E980" s="2" t="s">
        <v>4117</v>
      </c>
      <c r="F980" s="4" t="s">
        <v>3281</v>
      </c>
    </row>
    <row r="981" spans="1:6" x14ac:dyDescent="0.3">
      <c r="A981" s="3" t="s">
        <v>3057</v>
      </c>
      <c r="B981" s="2" t="s">
        <v>3122</v>
      </c>
      <c r="C981" s="2" t="s">
        <v>2045</v>
      </c>
      <c r="D981" s="2" t="s">
        <v>3123</v>
      </c>
      <c r="E981" s="2" t="s">
        <v>4118</v>
      </c>
      <c r="F981" s="4" t="s">
        <v>3283</v>
      </c>
    </row>
    <row r="982" spans="1:6" x14ac:dyDescent="0.3">
      <c r="A982" s="3" t="s">
        <v>3058</v>
      </c>
      <c r="B982" s="2" t="s">
        <v>3168</v>
      </c>
      <c r="C982" s="2" t="s">
        <v>2047</v>
      </c>
      <c r="D982" s="2" t="s">
        <v>3169</v>
      </c>
      <c r="E982" s="2" t="s">
        <v>4119</v>
      </c>
      <c r="F982" s="4" t="s">
        <v>3285</v>
      </c>
    </row>
    <row r="983" spans="1:6" x14ac:dyDescent="0.3">
      <c r="A983" s="3" t="s">
        <v>3059</v>
      </c>
      <c r="B983" s="2" t="s">
        <v>3150</v>
      </c>
      <c r="C983" s="2" t="s">
        <v>2049</v>
      </c>
      <c r="D983" s="2" t="s">
        <v>3151</v>
      </c>
      <c r="E983" s="2" t="s">
        <v>4120</v>
      </c>
      <c r="F983" s="4" t="s">
        <v>3287</v>
      </c>
    </row>
    <row r="984" spans="1:6" x14ac:dyDescent="0.3">
      <c r="A984" s="3" t="s">
        <v>3060</v>
      </c>
      <c r="B984" s="2" t="s">
        <v>3194</v>
      </c>
      <c r="C984" s="2" t="s">
        <v>2051</v>
      </c>
      <c r="D984" s="2" t="s">
        <v>3155</v>
      </c>
      <c r="E984" s="2" t="s">
        <v>4121</v>
      </c>
      <c r="F984" s="4" t="s">
        <v>3289</v>
      </c>
    </row>
    <row r="985" spans="1:6" x14ac:dyDescent="0.3">
      <c r="A985" s="3" t="s">
        <v>3061</v>
      </c>
      <c r="B985" s="2" t="s">
        <v>3085</v>
      </c>
      <c r="C985" s="2" t="s">
        <v>4122</v>
      </c>
      <c r="D985" s="2" t="s">
        <v>3087</v>
      </c>
      <c r="E985" s="2" t="s">
        <v>4123</v>
      </c>
      <c r="F985" s="4" t="s">
        <v>3291</v>
      </c>
    </row>
    <row r="986" spans="1:6" x14ac:dyDescent="0.3">
      <c r="A986" s="3" t="s">
        <v>3062</v>
      </c>
      <c r="B986" s="2" t="s">
        <v>3194</v>
      </c>
      <c r="C986" s="2" t="s">
        <v>2055</v>
      </c>
      <c r="D986" s="2" t="s">
        <v>3155</v>
      </c>
      <c r="E986" s="2" t="s">
        <v>4124</v>
      </c>
      <c r="F986" s="4" t="s">
        <v>3293</v>
      </c>
    </row>
    <row r="987" spans="1:6" x14ac:dyDescent="0.3">
      <c r="A987" s="3" t="s">
        <v>3063</v>
      </c>
      <c r="B987" s="2" t="s">
        <v>3229</v>
      </c>
      <c r="C987" s="2" t="s">
        <v>2057</v>
      </c>
      <c r="D987" s="2" t="s">
        <v>3230</v>
      </c>
      <c r="E987" s="2" t="s">
        <v>4125</v>
      </c>
      <c r="F987" s="4" t="s">
        <v>3295</v>
      </c>
    </row>
    <row r="988" spans="1:6" x14ac:dyDescent="0.3">
      <c r="A988" s="3" t="s">
        <v>3064</v>
      </c>
      <c r="B988" s="2" t="s">
        <v>3180</v>
      </c>
      <c r="C988" s="2" t="s">
        <v>2059</v>
      </c>
      <c r="D988" s="2" t="s">
        <v>3181</v>
      </c>
      <c r="E988" s="2" t="s">
        <v>4126</v>
      </c>
      <c r="F988" s="4" t="s">
        <v>3297</v>
      </c>
    </row>
    <row r="989" spans="1:6" x14ac:dyDescent="0.3">
      <c r="A989" s="3" t="s">
        <v>3065</v>
      </c>
      <c r="B989" s="2" t="s">
        <v>3154</v>
      </c>
      <c r="C989" s="2" t="s">
        <v>2061</v>
      </c>
      <c r="D989" s="2" t="s">
        <v>3155</v>
      </c>
      <c r="E989" s="2" t="s">
        <v>4127</v>
      </c>
      <c r="F989" s="4" t="s">
        <v>3299</v>
      </c>
    </row>
    <row r="990" spans="1:6" x14ac:dyDescent="0.3">
      <c r="A990" s="3" t="s">
        <v>3066</v>
      </c>
      <c r="B990" s="2" t="s">
        <v>3112</v>
      </c>
      <c r="C990" s="2" t="s">
        <v>2063</v>
      </c>
      <c r="D990" s="2" t="s">
        <v>64</v>
      </c>
      <c r="E990" s="2" t="s">
        <v>4128</v>
      </c>
      <c r="F990" s="4" t="s">
        <v>3301</v>
      </c>
    </row>
    <row r="991" spans="1:6" x14ac:dyDescent="0.3">
      <c r="A991" s="3" t="s">
        <v>3067</v>
      </c>
      <c r="B991" s="2" t="s">
        <v>3090</v>
      </c>
      <c r="C991" s="2" t="s">
        <v>2065</v>
      </c>
      <c r="D991" s="2" t="s">
        <v>3091</v>
      </c>
      <c r="E991" s="2" t="s">
        <v>4129</v>
      </c>
      <c r="F991" s="4" t="s">
        <v>3303</v>
      </c>
    </row>
    <row r="992" spans="1:6" x14ac:dyDescent="0.3">
      <c r="A992" s="3" t="s">
        <v>3068</v>
      </c>
      <c r="B992" s="2" t="s">
        <v>3122</v>
      </c>
      <c r="C992" s="2" t="s">
        <v>2067</v>
      </c>
      <c r="D992" s="2" t="s">
        <v>3123</v>
      </c>
      <c r="E992" s="2" t="s">
        <v>4130</v>
      </c>
      <c r="F992" s="4" t="s">
        <v>3305</v>
      </c>
    </row>
    <row r="993" spans="1:6" x14ac:dyDescent="0.3">
      <c r="A993" s="3" t="s">
        <v>3069</v>
      </c>
      <c r="B993" s="2" t="s">
        <v>3093</v>
      </c>
      <c r="C993" s="2" t="s">
        <v>2069</v>
      </c>
      <c r="D993" s="2" t="s">
        <v>3094</v>
      </c>
      <c r="E993" s="2" t="s">
        <v>4131</v>
      </c>
      <c r="F993" s="4" t="s">
        <v>3307</v>
      </c>
    </row>
    <row r="994" spans="1:6" x14ac:dyDescent="0.3">
      <c r="A994" s="3" t="s">
        <v>3070</v>
      </c>
      <c r="B994" s="2" t="s">
        <v>3106</v>
      </c>
      <c r="C994" s="2" t="s">
        <v>2071</v>
      </c>
      <c r="D994" s="2" t="s">
        <v>3107</v>
      </c>
      <c r="E994" s="2" t="s">
        <v>4132</v>
      </c>
      <c r="F994" s="4" t="s">
        <v>3309</v>
      </c>
    </row>
    <row r="995" spans="1:6" x14ac:dyDescent="0.3">
      <c r="A995" s="3" t="s">
        <v>3071</v>
      </c>
      <c r="B995" s="2" t="s">
        <v>3164</v>
      </c>
      <c r="C995" s="2" t="s">
        <v>2073</v>
      </c>
      <c r="D995" s="2" t="s">
        <v>3165</v>
      </c>
      <c r="E995" s="2" t="s">
        <v>4133</v>
      </c>
      <c r="F995" s="4" t="s">
        <v>3311</v>
      </c>
    </row>
    <row r="996" spans="1:6" x14ac:dyDescent="0.3">
      <c r="A996" s="3" t="s">
        <v>3072</v>
      </c>
      <c r="B996" s="2" t="s">
        <v>3194</v>
      </c>
      <c r="C996" s="2" t="s">
        <v>2075</v>
      </c>
      <c r="D996" s="2" t="s">
        <v>3155</v>
      </c>
      <c r="E996" s="2" t="s">
        <v>3479</v>
      </c>
      <c r="F996" s="4" t="s">
        <v>3313</v>
      </c>
    </row>
    <row r="997" spans="1:6" x14ac:dyDescent="0.3">
      <c r="A997" s="3" t="s">
        <v>3073</v>
      </c>
      <c r="B997" s="2" t="s">
        <v>3115</v>
      </c>
      <c r="C997" s="2" t="s">
        <v>2077</v>
      </c>
      <c r="D997" s="2" t="s">
        <v>3116</v>
      </c>
      <c r="E997" s="2" t="s">
        <v>4134</v>
      </c>
      <c r="F997" s="4" t="s">
        <v>3315</v>
      </c>
    </row>
    <row r="998" spans="1:6" x14ac:dyDescent="0.3">
      <c r="A998" s="3" t="s">
        <v>3074</v>
      </c>
      <c r="B998" s="2" t="s">
        <v>3093</v>
      </c>
      <c r="C998" s="2" t="s">
        <v>2079</v>
      </c>
      <c r="D998" s="2" t="s">
        <v>3094</v>
      </c>
      <c r="E998" s="2" t="s">
        <v>4135</v>
      </c>
      <c r="F998" s="4" t="s">
        <v>3317</v>
      </c>
    </row>
    <row r="999" spans="1:6" x14ac:dyDescent="0.3">
      <c r="A999" s="3" t="s">
        <v>3075</v>
      </c>
      <c r="B999" s="2" t="s">
        <v>3133</v>
      </c>
      <c r="C999" s="2" t="s">
        <v>2081</v>
      </c>
      <c r="D999" s="2" t="s">
        <v>3134</v>
      </c>
      <c r="E999" s="2" t="s">
        <v>4136</v>
      </c>
      <c r="F999" s="4" t="s">
        <v>3319</v>
      </c>
    </row>
    <row r="1000" spans="1:6" x14ac:dyDescent="0.3">
      <c r="A1000" s="3" t="s">
        <v>3076</v>
      </c>
      <c r="B1000" s="2" t="s">
        <v>3164</v>
      </c>
      <c r="C1000" s="2" t="s">
        <v>2083</v>
      </c>
      <c r="D1000" s="2" t="s">
        <v>3165</v>
      </c>
      <c r="E1000" s="2" t="s">
        <v>4137</v>
      </c>
      <c r="F1000" s="4" t="s">
        <v>3321</v>
      </c>
    </row>
    <row r="1001" spans="1:6" x14ac:dyDescent="0.3">
      <c r="A1001" s="8" t="s">
        <v>3077</v>
      </c>
      <c r="B1001" s="9" t="s">
        <v>3217</v>
      </c>
      <c r="C1001" s="9" t="s">
        <v>2085</v>
      </c>
      <c r="D1001" s="9" t="s">
        <v>3218</v>
      </c>
      <c r="E1001" s="9" t="s">
        <v>3544</v>
      </c>
      <c r="F1001" s="10" t="s">
        <v>3323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E2F235-60FC-46CD-9135-B08A30A708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Table5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2025-11-14T12:39:35Z</dcterms:created>
  <dcterms:modified xsi:type="dcterms:W3CDTF">2025-11-14T13:16:58Z</dcterms:modified>
</cp:coreProperties>
</file>